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3125DFAB8CFB77B3/Documents/"/>
    </mc:Choice>
  </mc:AlternateContent>
  <xr:revisionPtr revIDLastSave="0" documentId="8_{520A6ED6-4E06-4F4A-A6DD-6A314E5CD0D9}" xr6:coauthVersionLast="47" xr6:coauthVersionMax="47" xr10:uidLastSave="{00000000-0000-0000-0000-000000000000}"/>
  <bookViews>
    <workbookView xWindow="-120" yWindow="-120" windowWidth="20730" windowHeight="11040" activeTab="2" xr2:uid="{00000000-000D-0000-FFFF-FFFF00000000}"/>
  </bookViews>
  <sheets>
    <sheet name="SalesData" sheetId="2" r:id="rId1"/>
    <sheet name="Sheet3" sheetId="7" r:id="rId2"/>
    <sheet name="Dashboard" sheetId="8" r:id="rId3"/>
    <sheet name="Sales_Data" sheetId="1" r:id="rId4"/>
    <sheet name="Analysis                 " sheetId="5" r:id="rId5"/>
  </sheets>
  <definedNames>
    <definedName name="ExternalData_1" localSheetId="0" hidden="1">SalesData!$A$1:$K$201</definedName>
    <definedName name="Slicer_Category">#N/A</definedName>
    <definedName name="Slicer_Region">#N/A</definedName>
    <definedName name="Slicer_Salesperson">#N/A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8" l="1"/>
  <c r="B6" i="8"/>
  <c r="B7" i="8"/>
  <c r="B8" i="8"/>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B10" i="5"/>
  <c r="B9" i="5"/>
  <c r="B7" i="5"/>
  <c r="B8" i="5"/>
  <c r="B6" i="5"/>
  <c r="B5" i="5"/>
  <c r="B4" i="5"/>
  <c r="B3"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93CB6C-B0D6-42D3-BB39-6E4C297BEC00}"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<sst xmlns="http://schemas.openxmlformats.org/spreadsheetml/2006/main" count="1662" uniqueCount="57">
  <si>
    <t>OrderID</t>
  </si>
  <si>
    <t>Date</t>
  </si>
  <si>
    <t>Region</t>
  </si>
  <si>
    <t>Salesperson</t>
  </si>
  <si>
    <t>Product</t>
  </si>
  <si>
    <t>Category</t>
  </si>
  <si>
    <t>Quantity</t>
  </si>
  <si>
    <t>UnitPrice</t>
  </si>
  <si>
    <t>Sales</t>
  </si>
  <si>
    <t>Cost</t>
  </si>
  <si>
    <t>Profit</t>
  </si>
  <si>
    <t>East</t>
  </si>
  <si>
    <t>Anita</t>
  </si>
  <si>
    <t>Keyboard</t>
  </si>
  <si>
    <t>Accessories</t>
  </si>
  <si>
    <t>Priya</t>
  </si>
  <si>
    <t>Sara</t>
  </si>
  <si>
    <t>Laptop</t>
  </si>
  <si>
    <t>Electronics</t>
  </si>
  <si>
    <t>Rahul</t>
  </si>
  <si>
    <t>Mouse</t>
  </si>
  <si>
    <t>North</t>
  </si>
  <si>
    <t>David</t>
  </si>
  <si>
    <t>Headphones</t>
  </si>
  <si>
    <t>South</t>
  </si>
  <si>
    <t>West</t>
  </si>
  <si>
    <t>John</t>
  </si>
  <si>
    <t>Monitor</t>
  </si>
  <si>
    <t>Printer</t>
  </si>
  <si>
    <t>Tablet</t>
  </si>
  <si>
    <t>Column1</t>
  </si>
  <si>
    <t xml:space="preserve">     Priya</t>
  </si>
  <si>
    <t xml:space="preserve">           Priya</t>
  </si>
  <si>
    <t xml:space="preserve">           Anita</t>
  </si>
  <si>
    <t xml:space="preserve">          Anita</t>
  </si>
  <si>
    <t xml:space="preserve">             John</t>
  </si>
  <si>
    <t xml:space="preserve">         Priya</t>
  </si>
  <si>
    <t xml:space="preserve">        Accessories</t>
  </si>
  <si>
    <t xml:space="preserve">         Electronics</t>
  </si>
  <si>
    <t xml:space="preserve">     Keyboard</t>
  </si>
  <si>
    <t>Total Sales</t>
  </si>
  <si>
    <t>Average Sales</t>
  </si>
  <si>
    <t>Maximum Sale</t>
  </si>
  <si>
    <t>Minimum Sale</t>
  </si>
  <si>
    <t>Total Orders</t>
  </si>
  <si>
    <t>Electronics Sales</t>
  </si>
  <si>
    <t>North Region Sales</t>
  </si>
  <si>
    <t>North Electronics Sales</t>
  </si>
  <si>
    <t>Orders in North Region</t>
  </si>
  <si>
    <t>Lookup_Category</t>
  </si>
  <si>
    <t>Row Labels</t>
  </si>
  <si>
    <t>Grand Total</t>
  </si>
  <si>
    <t>Sum of Sales</t>
  </si>
  <si>
    <t>SALES PERFORMANCE DASHBOARD</t>
  </si>
  <si>
    <t>KPI</t>
  </si>
  <si>
    <t>Formula</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</si>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</sst>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font>
      <sz val="11"/>
      <color theme="1"/>
      <name val="Calibri"/>
      <family val="2"/>
      <scheme val="minor"/>
    </font>
    <font>
      <b/>
      <sz val="11"/>
      <color theme="1"/>
      <name val="Calibri"/>
      <family val="2"/>
      <scheme val="minor"/>
    </font>
    <font>
      <b/>
      <sz val="20"/>
      <color theme="1"/>
      <name val="Calibri"/>
      <family val="2"/>
      <scheme val="minor"/>
    </font>
    <font>
      <sz val="10"/>
      <color theme="1"/>
      <name val="Arial Unicode MS"/>
    </font>
  </fonts>
  <fills count="4">
    <fill>
      <patternFill patternType="none"/>
    </fill>
    <fill>
      <patternFill patternType="gray125"/>
    </fill>
    <fill>
      <patternFill patternType="solid">
        <fgColor theme="5"/>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22" fontId="0" fillId="0" borderId="0" xfId="0" applyNumberFormat="1"/>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2" fillId="0" borderId="0" xfId="0" applyFont="1" applyAlignment="1">
      <alignment horizontal="center" vertical="top"/>
    </xf>
    <xf numFmtId="0" fontId="3" fillId="0" borderId="0" xfId="0" applyFont="1" applyAlignment="1">
      <alignment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cellXfs>
  <cellStyles count="1">
    <cellStyle name="Normal" xfId="0" builtinId="0"/>
  </cellStyles>
  <dxfs count="12">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fill>
        <patternFill>
          <bgColor theme="6" tint="-0.24994659260841701"/>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0"/>
  </c:pivotSource>
  <c:chart>
    <c:title>
      <c:layout>
        <c:manualLayout>
          <c:xMode val="edge"/>
          <c:yMode val="edge"/>
          <c:x val="4.5638055573631806E-2"/>
          <c:y val="5.54330553468261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1524659000239"/>
          <c:y val="0.14962678445682098"/>
          <c:w val="0.696252821378748"/>
          <c:h val="0.58265770437231923"/>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East</c:v>
                </c:pt>
              </c:strCache>
            </c:strRef>
          </c:cat>
          <c:val>
            <c:numRef>
              <c:f>Sheet3!$B$4:$B$5</c:f>
              <c:numCache>
                <c:formatCode>General</c:formatCode>
                <c:ptCount val="1"/>
                <c:pt idx="0">
                  <c:v>3416745</c:v>
                </c:pt>
              </c:numCache>
            </c:numRef>
          </c:val>
          <c:extLst>
            <c:ext xmlns:c16="http://schemas.microsoft.com/office/drawing/2014/chart" uri="{C3380CC4-5D6E-409C-BE32-E72D297353CC}">
              <c16:uniqueId val="{00000000-D2C9-4BBC-A23E-B2BF4BDEF0FE}"/>
            </c:ext>
          </c:extLst>
        </c:ser>
        <c:dLbls>
          <c:showLegendKey val="0"/>
          <c:showVal val="0"/>
          <c:showCatName val="0"/>
          <c:showSerName val="0"/>
          <c:showPercent val="0"/>
          <c:showBubbleSize val="0"/>
        </c:dLbls>
        <c:gapWidth val="219"/>
        <c:overlap val="-27"/>
        <c:axId val="122846847"/>
        <c:axId val="122843967"/>
      </c:barChart>
      <c:catAx>
        <c:axId val="1228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3967"/>
        <c:crosses val="autoZero"/>
        <c:auto val="1"/>
        <c:lblAlgn val="ctr"/>
        <c:lblOffset val="100"/>
        <c:noMultiLvlLbl val="0"/>
      </c:catAx>
      <c:valAx>
        <c:axId val="12284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Sheet3!$B$15</c:f>
              <c:strCache>
                <c:ptCount val="1"/>
                <c:pt idx="0">
                  <c:v>Total</c:v>
                </c:pt>
              </c:strCache>
            </c:strRef>
          </c:tx>
          <c:spPr>
            <a:solidFill>
              <a:schemeClr val="accent1"/>
            </a:solidFill>
            <a:ln>
              <a:noFill/>
            </a:ln>
            <a:effectLst/>
          </c:spPr>
          <c:invertIfNegative val="0"/>
          <c:cat>
            <c:strRef>
              <c:f>Sheet3!$A$16:$A$18</c:f>
              <c:strCache>
                <c:ptCount val="2"/>
                <c:pt idx="0">
                  <c:v>Accessories</c:v>
                </c:pt>
                <c:pt idx="1">
                  <c:v>Electronics</c:v>
                </c:pt>
              </c:strCache>
            </c:strRef>
          </c:cat>
          <c:val>
            <c:numRef>
              <c:f>Sheet3!$B$16:$B$18</c:f>
              <c:numCache>
                <c:formatCode>General</c:formatCode>
                <c:ptCount val="2"/>
                <c:pt idx="0">
                  <c:v>291643</c:v>
                </c:pt>
                <c:pt idx="1">
                  <c:v>3125102</c:v>
                </c:pt>
              </c:numCache>
            </c:numRef>
          </c:val>
          <c:extLst>
            <c:ext xmlns:c16="http://schemas.microsoft.com/office/drawing/2014/chart" uri="{C3380CC4-5D6E-409C-BE32-E72D297353CC}">
              <c16:uniqueId val="{00000000-46ED-4114-BF99-98491D210378}"/>
            </c:ext>
          </c:extLst>
        </c:ser>
        <c:dLbls>
          <c:showLegendKey val="0"/>
          <c:showVal val="0"/>
          <c:showCatName val="0"/>
          <c:showSerName val="0"/>
          <c:showPercent val="0"/>
          <c:showBubbleSize val="0"/>
        </c:dLbls>
        <c:gapWidth val="182"/>
        <c:axId val="122843487"/>
        <c:axId val="122844447"/>
      </c:barChart>
      <c:catAx>
        <c:axId val="12284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447"/>
        <c:crosses val="autoZero"/>
        <c:auto val="1"/>
        <c:lblAlgn val="ctr"/>
        <c:lblOffset val="100"/>
        <c:noMultiLvlLbl val="0"/>
      </c:catAx>
      <c:valAx>
        <c:axId val="12284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34612860892388"/>
          <c:y val="0.36420611167171052"/>
          <c:w val="0.33160979877515312"/>
          <c:h val="0.52866650937952075"/>
        </c:manualLayout>
      </c:layout>
      <c:barChart>
        <c:barDir val="bar"/>
        <c:grouping val="clustered"/>
        <c:varyColors val="0"/>
        <c:ser>
          <c:idx val="0"/>
          <c:order val="0"/>
          <c:tx>
            <c:strRef>
              <c:f>Sheet3!$B$25</c:f>
              <c:strCache>
                <c:ptCount val="1"/>
                <c:pt idx="0">
                  <c:v>Total</c:v>
                </c:pt>
              </c:strCache>
            </c:strRef>
          </c:tx>
          <c:spPr>
            <a:solidFill>
              <a:schemeClr val="accent1"/>
            </a:solidFill>
            <a:ln>
              <a:noFill/>
            </a:ln>
            <a:effectLst/>
          </c:spPr>
          <c:invertIfNegative val="0"/>
          <c:cat>
            <c:strRef>
              <c:f>Sheet3!$A$26:$A$33</c:f>
              <c:strCache>
                <c:ptCount val="7"/>
                <c:pt idx="0">
                  <c:v>     Priya</c:v>
                </c:pt>
                <c:pt idx="1">
                  <c:v>Anita</c:v>
                </c:pt>
                <c:pt idx="2">
                  <c:v>David</c:v>
                </c:pt>
                <c:pt idx="3">
                  <c:v>John</c:v>
                </c:pt>
                <c:pt idx="4">
                  <c:v>Priya</c:v>
                </c:pt>
                <c:pt idx="5">
                  <c:v>Rahul</c:v>
                </c:pt>
                <c:pt idx="6">
                  <c:v>Sara</c:v>
                </c:pt>
              </c:strCache>
            </c:strRef>
          </c:cat>
          <c:val>
            <c:numRef>
              <c:f>Sheet3!$B$26:$B$33</c:f>
              <c:numCache>
                <c:formatCode>General</c:formatCode>
                <c:ptCount val="7"/>
                <c:pt idx="0">
                  <c:v>854</c:v>
                </c:pt>
                <c:pt idx="1">
                  <c:v>727045</c:v>
                </c:pt>
                <c:pt idx="2">
                  <c:v>440664</c:v>
                </c:pt>
                <c:pt idx="3">
                  <c:v>127003</c:v>
                </c:pt>
                <c:pt idx="4">
                  <c:v>611622</c:v>
                </c:pt>
                <c:pt idx="5">
                  <c:v>733476</c:v>
                </c:pt>
                <c:pt idx="6">
                  <c:v>776081</c:v>
                </c:pt>
              </c:numCache>
            </c:numRef>
          </c:val>
          <c:extLst>
            <c:ext xmlns:c16="http://schemas.microsoft.com/office/drawing/2014/chart" uri="{C3380CC4-5D6E-409C-BE32-E72D297353CC}">
              <c16:uniqueId val="{00000000-3FBC-4D24-9734-4E07198CA3B0}"/>
            </c:ext>
          </c:extLst>
        </c:ser>
        <c:dLbls>
          <c:showLegendKey val="0"/>
          <c:showVal val="0"/>
          <c:showCatName val="0"/>
          <c:showSerName val="0"/>
          <c:showPercent val="0"/>
          <c:showBubbleSize val="0"/>
        </c:dLbls>
        <c:gapWidth val="182"/>
        <c:axId val="425990751"/>
        <c:axId val="425987391"/>
      </c:barChart>
      <c:catAx>
        <c:axId val="42599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87391"/>
        <c:crosses val="autoZero"/>
        <c:auto val="1"/>
        <c:lblAlgn val="ctr"/>
        <c:lblOffset val="100"/>
        <c:noMultiLvlLbl val="0"/>
      </c:catAx>
      <c:valAx>
        <c:axId val="425987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9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Sheet3!$B$41</c:f>
              <c:strCache>
                <c:ptCount val="1"/>
                <c:pt idx="0">
                  <c:v>Total</c:v>
                </c:pt>
              </c:strCache>
            </c:strRef>
          </c:tx>
          <c:spPr>
            <a:ln w="28575" cap="rnd">
              <a:solidFill>
                <a:schemeClr val="accent1"/>
              </a:solidFill>
              <a:round/>
            </a:ln>
            <a:effectLst/>
          </c:spPr>
          <c:marker>
            <c:symbol val="none"/>
          </c:marker>
          <c:cat>
            <c:strRef>
              <c:f>Sheet3!$A$42</c:f>
              <c:strCache>
                <c:ptCount val="1"/>
                <c:pt idx="0">
                  <c:v>Grand Total</c:v>
                </c:pt>
              </c:strCache>
            </c:strRef>
          </c:cat>
          <c:val>
            <c:numRef>
              <c:f>Sheet3!$B$42</c:f>
              <c:numCache>
                <c:formatCode>General</c:formatCode>
                <c:ptCount val="1"/>
              </c:numCache>
            </c:numRef>
          </c:val>
          <c:smooth val="0"/>
          <c:extLst>
            <c:ext xmlns:c16="http://schemas.microsoft.com/office/drawing/2014/chart" uri="{C3380CC4-5D6E-409C-BE32-E72D297353CC}">
              <c16:uniqueId val="{00000000-4E29-4941-8489-942C265AF0DB}"/>
            </c:ext>
          </c:extLst>
        </c:ser>
        <c:dLbls>
          <c:showLegendKey val="0"/>
          <c:showVal val="0"/>
          <c:showCatName val="0"/>
          <c:showSerName val="0"/>
          <c:showPercent val="0"/>
          <c:showBubbleSize val="0"/>
        </c:dLbls>
        <c:smooth val="0"/>
        <c:axId val="239248159"/>
        <c:axId val="239250079"/>
      </c:lineChart>
      <c:catAx>
        <c:axId val="23924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50079"/>
        <c:crosses val="autoZero"/>
        <c:auto val="1"/>
        <c:lblAlgn val="ctr"/>
        <c:lblOffset val="100"/>
        <c:noMultiLvlLbl val="0"/>
      </c:catAx>
      <c:valAx>
        <c:axId val="23925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3"/>
  </c:pivotSource>
  <c:chart>
    <c:title>
      <c:layout>
        <c:manualLayout>
          <c:xMode val="edge"/>
          <c:yMode val="edge"/>
          <c:x val="4.5638055573631806E-2"/>
          <c:y val="5.543305534682617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81524659000239"/>
          <c:y val="0.14962678445682098"/>
          <c:w val="0.696252821378748"/>
          <c:h val="0.58265770437231923"/>
        </c:manualLayout>
      </c:layout>
      <c:bar3DChart>
        <c:barDir val="col"/>
        <c:grouping val="percentStacked"/>
        <c:varyColors val="0"/>
        <c:ser>
          <c:idx val="0"/>
          <c:order val="0"/>
          <c:tx>
            <c:strRef>
              <c:f>Sheet3!$B$3</c:f>
              <c:strCache>
                <c:ptCount val="1"/>
                <c:pt idx="0">
                  <c:v>Total</c:v>
                </c:pt>
              </c:strCache>
            </c:strRef>
          </c:tx>
          <c:spPr>
            <a:solidFill>
              <a:schemeClr val="accent1"/>
            </a:solidFill>
            <a:ln>
              <a:noFill/>
            </a:ln>
            <a:effectLst/>
            <a:sp3d/>
          </c:spPr>
          <c:invertIfNegative val="0"/>
          <c:cat>
            <c:strRef>
              <c:f>Sheet3!$A$4:$A$5</c:f>
              <c:strCache>
                <c:ptCount val="1"/>
                <c:pt idx="0">
                  <c:v>East</c:v>
                </c:pt>
              </c:strCache>
            </c:strRef>
          </c:cat>
          <c:val>
            <c:numRef>
              <c:f>Sheet3!$B$4:$B$5</c:f>
              <c:numCache>
                <c:formatCode>General</c:formatCode>
                <c:ptCount val="1"/>
                <c:pt idx="0">
                  <c:v>3416745</c:v>
                </c:pt>
              </c:numCache>
            </c:numRef>
          </c:val>
          <c:extLst>
            <c:ext xmlns:c16="http://schemas.microsoft.com/office/drawing/2014/chart" uri="{C3380CC4-5D6E-409C-BE32-E72D297353CC}">
              <c16:uniqueId val="{00000000-FF5A-4FB4-8391-A130E4348C58}"/>
            </c:ext>
          </c:extLst>
        </c:ser>
        <c:dLbls>
          <c:showLegendKey val="0"/>
          <c:showVal val="0"/>
          <c:showCatName val="0"/>
          <c:showSerName val="0"/>
          <c:showPercent val="0"/>
          <c:showBubbleSize val="0"/>
        </c:dLbls>
        <c:gapWidth val="219"/>
        <c:shape val="box"/>
        <c:axId val="122846847"/>
        <c:axId val="122843967"/>
        <c:axId val="0"/>
      </c:bar3DChart>
      <c:catAx>
        <c:axId val="12284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3967"/>
        <c:crosses val="autoZero"/>
        <c:auto val="1"/>
        <c:lblAlgn val="ctr"/>
        <c:lblOffset val="100"/>
        <c:noMultiLvlLbl val="0"/>
      </c:catAx>
      <c:valAx>
        <c:axId val="122843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Sheet3!$B$15</c:f>
              <c:strCache>
                <c:ptCount val="1"/>
                <c:pt idx="0">
                  <c:v>Total</c:v>
                </c:pt>
              </c:strCache>
            </c:strRef>
          </c:tx>
          <c:spPr>
            <a:solidFill>
              <a:schemeClr val="accent1"/>
            </a:solidFill>
            <a:ln>
              <a:noFill/>
            </a:ln>
            <a:effectLst/>
          </c:spPr>
          <c:invertIfNegative val="0"/>
          <c:cat>
            <c:strRef>
              <c:f>Sheet3!$A$16:$A$18</c:f>
              <c:strCache>
                <c:ptCount val="2"/>
                <c:pt idx="0">
                  <c:v>Accessories</c:v>
                </c:pt>
                <c:pt idx="1">
                  <c:v>Electronics</c:v>
                </c:pt>
              </c:strCache>
            </c:strRef>
          </c:cat>
          <c:val>
            <c:numRef>
              <c:f>Sheet3!$B$16:$B$18</c:f>
              <c:numCache>
                <c:formatCode>General</c:formatCode>
                <c:ptCount val="2"/>
                <c:pt idx="0">
                  <c:v>291643</c:v>
                </c:pt>
                <c:pt idx="1">
                  <c:v>3125102</c:v>
                </c:pt>
              </c:numCache>
            </c:numRef>
          </c:val>
          <c:extLst>
            <c:ext xmlns:c16="http://schemas.microsoft.com/office/drawing/2014/chart" uri="{C3380CC4-5D6E-409C-BE32-E72D297353CC}">
              <c16:uniqueId val="{00000000-485C-45C7-B8C4-FDE74FE284D1}"/>
            </c:ext>
          </c:extLst>
        </c:ser>
        <c:dLbls>
          <c:showLegendKey val="0"/>
          <c:showVal val="0"/>
          <c:showCatName val="0"/>
          <c:showSerName val="0"/>
          <c:showPercent val="0"/>
          <c:showBubbleSize val="0"/>
        </c:dLbls>
        <c:gapWidth val="182"/>
        <c:overlap val="100"/>
        <c:axId val="122843487"/>
        <c:axId val="122844447"/>
      </c:barChart>
      <c:catAx>
        <c:axId val="12284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447"/>
        <c:crosses val="autoZero"/>
        <c:auto val="1"/>
        <c:lblAlgn val="ctr"/>
        <c:lblOffset val="100"/>
        <c:noMultiLvlLbl val="0"/>
      </c:catAx>
      <c:valAx>
        <c:axId val="12284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52041167885043"/>
          <c:y val="0.36420611167171052"/>
          <c:w val="0.33160979877515312"/>
          <c:h val="0.52866650937952075"/>
        </c:manualLayout>
      </c:layout>
      <c:bar3DChart>
        <c:barDir val="col"/>
        <c:grouping val="clustered"/>
        <c:varyColors val="0"/>
        <c:ser>
          <c:idx val="0"/>
          <c:order val="0"/>
          <c:tx>
            <c:strRef>
              <c:f>Sheet3!$B$25</c:f>
              <c:strCache>
                <c:ptCount val="1"/>
                <c:pt idx="0">
                  <c:v>Total</c:v>
                </c:pt>
              </c:strCache>
            </c:strRef>
          </c:tx>
          <c:spPr>
            <a:solidFill>
              <a:schemeClr val="accent1"/>
            </a:solidFill>
            <a:ln>
              <a:noFill/>
            </a:ln>
            <a:effectLst/>
            <a:sp3d/>
          </c:spPr>
          <c:invertIfNegative val="0"/>
          <c:cat>
            <c:strRef>
              <c:f>Sheet3!$A$26:$A$33</c:f>
              <c:strCache>
                <c:ptCount val="7"/>
                <c:pt idx="0">
                  <c:v>     Priya</c:v>
                </c:pt>
                <c:pt idx="1">
                  <c:v>Anita</c:v>
                </c:pt>
                <c:pt idx="2">
                  <c:v>David</c:v>
                </c:pt>
                <c:pt idx="3">
                  <c:v>John</c:v>
                </c:pt>
                <c:pt idx="4">
                  <c:v>Priya</c:v>
                </c:pt>
                <c:pt idx="5">
                  <c:v>Rahul</c:v>
                </c:pt>
                <c:pt idx="6">
                  <c:v>Sara</c:v>
                </c:pt>
              </c:strCache>
            </c:strRef>
          </c:cat>
          <c:val>
            <c:numRef>
              <c:f>Sheet3!$B$26:$B$33</c:f>
              <c:numCache>
                <c:formatCode>General</c:formatCode>
                <c:ptCount val="7"/>
                <c:pt idx="0">
                  <c:v>854</c:v>
                </c:pt>
                <c:pt idx="1">
                  <c:v>727045</c:v>
                </c:pt>
                <c:pt idx="2">
                  <c:v>440664</c:v>
                </c:pt>
                <c:pt idx="3">
                  <c:v>127003</c:v>
                </c:pt>
                <c:pt idx="4">
                  <c:v>611622</c:v>
                </c:pt>
                <c:pt idx="5">
                  <c:v>733476</c:v>
                </c:pt>
                <c:pt idx="6">
                  <c:v>776081</c:v>
                </c:pt>
              </c:numCache>
            </c:numRef>
          </c:val>
          <c:extLst>
            <c:ext xmlns:c16="http://schemas.microsoft.com/office/drawing/2014/chart" uri="{C3380CC4-5D6E-409C-BE32-E72D297353CC}">
              <c16:uniqueId val="{00000000-85DC-4906-A275-B13A2AFFE4CF}"/>
            </c:ext>
          </c:extLst>
        </c:ser>
        <c:dLbls>
          <c:showLegendKey val="0"/>
          <c:showVal val="0"/>
          <c:showCatName val="0"/>
          <c:showSerName val="0"/>
          <c:showPercent val="0"/>
          <c:showBubbleSize val="0"/>
        </c:dLbls>
        <c:gapWidth val="182"/>
        <c:shape val="box"/>
        <c:axId val="425990751"/>
        <c:axId val="425987391"/>
        <c:axId val="0"/>
      </c:bar3DChart>
      <c:catAx>
        <c:axId val="42599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87391"/>
        <c:crosses val="autoZero"/>
        <c:auto val="1"/>
        <c:lblAlgn val="ctr"/>
        <c:lblOffset val="100"/>
        <c:noMultiLvlLbl val="0"/>
      </c:catAx>
      <c:valAx>
        <c:axId val="4259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9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Sheet3!$B$41</c:f>
              <c:strCache>
                <c:ptCount val="1"/>
                <c:pt idx="0">
                  <c:v>Total</c:v>
                </c:pt>
              </c:strCache>
            </c:strRef>
          </c:tx>
          <c:spPr>
            <a:solidFill>
              <a:schemeClr val="accent1"/>
            </a:solidFill>
            <a:ln>
              <a:noFill/>
            </a:ln>
            <a:effectLst/>
            <a:sp3d/>
          </c:spPr>
          <c:invertIfNegative val="0"/>
          <c:cat>
            <c:strRef>
              <c:f>Sheet3!$A$42</c:f>
              <c:strCache>
                <c:ptCount val="1"/>
                <c:pt idx="0">
                  <c:v>Grand Total</c:v>
                </c:pt>
              </c:strCache>
            </c:strRef>
          </c:cat>
          <c:val>
            <c:numRef>
              <c:f>Sheet3!$B$42</c:f>
              <c:numCache>
                <c:formatCode>General</c:formatCode>
                <c:ptCount val="1"/>
              </c:numCache>
            </c:numRef>
          </c:val>
          <c:extLst>
            <c:ext xmlns:c16="http://schemas.microsoft.com/office/drawing/2014/chart" uri="{C3380CC4-5D6E-409C-BE32-E72D297353CC}">
              <c16:uniqueId val="{00000000-2C65-4BCA-9CDD-9B5CDDBCB95B}"/>
            </c:ext>
          </c:extLst>
        </c:ser>
        <c:dLbls>
          <c:showLegendKey val="0"/>
          <c:showVal val="0"/>
          <c:showCatName val="0"/>
          <c:showSerName val="0"/>
          <c:showPercent val="0"/>
          <c:showBubbleSize val="0"/>
        </c:dLbls>
        <c:gapWidth val="150"/>
        <c:shape val="box"/>
        <c:axId val="239248159"/>
        <c:axId val="239250079"/>
        <c:axId val="0"/>
      </c:bar3DChart>
      <c:catAx>
        <c:axId val="23924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50079"/>
        <c:crosses val="autoZero"/>
        <c:auto val="1"/>
        <c:lblAlgn val="ctr"/>
        <c:lblOffset val="100"/>
        <c:noMultiLvlLbl val="0"/>
      </c:catAx>
      <c:valAx>
        <c:axId val="23925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24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266700</xdr:colOff>
      <xdr:row>1</xdr:row>
      <xdr:rowOff>123824</xdr:rowOff>
    </xdr:from>
    <xdr:to>
      <xdr:col>10</xdr:col>
      <xdr:colOff>333374</xdr:colOff>
      <xdr:row>11</xdr:row>
      <xdr:rowOff>171449</xdr:rowOff>
    </xdr:to>
    <xdr:graphicFrame macro="">
      <xdr:nvGraphicFramePr>
        <xdr:cNvPr id="2" name="Chart 1">
          <a:extLst>
            <a:ext uri="{FF2B5EF4-FFF2-40B4-BE49-F238E27FC236}">
              <a16:creationId xmlns:a16="http://schemas.microsoft.com/office/drawing/2014/main" id="{D7D4A69B-72DF-D647-9600-41FC250FE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12</xdr:row>
      <xdr:rowOff>180974</xdr:rowOff>
    </xdr:from>
    <xdr:to>
      <xdr:col>8</xdr:col>
      <xdr:colOff>590550</xdr:colOff>
      <xdr:row>22</xdr:row>
      <xdr:rowOff>100011</xdr:rowOff>
    </xdr:to>
    <xdr:graphicFrame macro="">
      <xdr:nvGraphicFramePr>
        <xdr:cNvPr id="3" name="Chart 2">
          <a:extLst>
            <a:ext uri="{FF2B5EF4-FFF2-40B4-BE49-F238E27FC236}">
              <a16:creationId xmlns:a16="http://schemas.microsoft.com/office/drawing/2014/main" id="{4EE8D57F-F890-CA7E-D3BB-948678A0E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561975</xdr:colOff>
      <xdr:row>24</xdr:row>
      <xdr:rowOff>166687</xdr:rowOff>
    </xdr:from>
    <xdr:to>
      <xdr:col>9</xdr:col>
      <xdr:colOff>285750</xdr:colOff>
      <xdr:row>36</xdr:row>
      <xdr:rowOff>38100</xdr:rowOff>
    </xdr:to>
    <xdr:graphicFrame macro="">
      <xdr:nvGraphicFramePr>
        <xdr:cNvPr id="4" name="Chart 3">
          <a:extLst>
            <a:ext uri="{FF2B5EF4-FFF2-40B4-BE49-F238E27FC236}">
              <a16:creationId xmlns:a16="http://schemas.microsoft.com/office/drawing/2014/main" id="{96D30733-F049-66C7-95A8-361ABE299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409575</xdr:colOff>
      <xdr:row>39</xdr:row>
      <xdr:rowOff>138112</xdr:rowOff>
    </xdr:from>
    <xdr:to>
      <xdr:col>8</xdr:col>
      <xdr:colOff>409575</xdr:colOff>
      <xdr:row>49</xdr:row>
      <xdr:rowOff>38100</xdr:rowOff>
    </xdr:to>
    <xdr:graphicFrame macro="">
      <xdr:nvGraphicFramePr>
        <xdr:cNvPr id="5" name="Chart 4">
          <a:extLst>
            <a:ext uri="{FF2B5EF4-FFF2-40B4-BE49-F238E27FC236}">
              <a16:creationId xmlns:a16="http://schemas.microsoft.com/office/drawing/2014/main" id="{232DBB82-35AA-6F07-BA3D-B79CB3B0C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180975</xdr:colOff>
      <xdr:row>28</xdr:row>
      <xdr:rowOff>57150</xdr:rowOff>
    </xdr:from>
    <xdr:to>
      <xdr:col>19</xdr:col>
      <xdr:colOff>180975</xdr:colOff>
      <xdr:row>41</xdr:row>
      <xdr:rowOff>104775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7210FB6A-E400-C34E-BE28-CC63AD0ADE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01300" y="5391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26</xdr:row>
      <xdr:rowOff>95251</xdr:rowOff>
    </xdr:from>
    <xdr:to>
      <xdr:col>12</xdr:col>
      <xdr:colOff>323850</xdr:colOff>
      <xdr:row>41</xdr:row>
      <xdr:rowOff>57151</xdr:rowOff>
    </xdr:to>
    <mc:AlternateContent xmlns:mc="http://schemas.openxmlformats.org/markup-compatibility/2006">
      <mc:Choice xmlns:a14="http://schemas.microsoft.com/office/drawing/2010/main" Requires="a14">
        <xdr:graphicFrame macro="">
          <xdr:nvGraphicFramePr>
            <xdr:cNvPr id="7" name="Salesperson">
              <a:extLst>
                <a:ext uri="{FF2B5EF4-FFF2-40B4-BE49-F238E27FC236}">
                  <a16:creationId xmlns:a16="http://schemas.microsoft.com/office/drawing/2014/main" id="{104D0BAF-EFD4-F519-9419-B5E2E941D31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276975" y="5048251"/>
              <a:ext cx="1828800"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504825</xdr:colOff>
      <xdr:row>28</xdr:row>
      <xdr:rowOff>76200</xdr:rowOff>
    </xdr:from>
    <xdr:to>
      <xdr:col>15</xdr:col>
      <xdr:colOff>504825</xdr:colOff>
      <xdr:row>41</xdr:row>
      <xdr:rowOff>123825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0A86086E-A68B-0059-9E73-93F12DCB81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86750" y="5410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1</xdr:col>
      <xdr:colOff>361949</xdr:colOff>
      <xdr:row>19</xdr:row>
      <xdr:rowOff>47625</xdr:rowOff>
    </xdr:to>
    <xdr:graphicFrame macro="">
      <xdr:nvGraphicFramePr>
        <xdr:cNvPr id="4" name="Chart 3">
          <a:extLst>
            <a:ext uri="{FF2B5EF4-FFF2-40B4-BE49-F238E27FC236}">
              <a16:creationId xmlns:a16="http://schemas.microsoft.com/office/drawing/2014/main" id="{4863A059-4B37-4F7A-9B9C-09C27A289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xdr:row>
      <xdr:rowOff>0</xdr:rowOff>
    </xdr:from>
    <xdr:to>
      <xdr:col>7</xdr:col>
      <xdr:colOff>571500</xdr:colOff>
      <xdr:row>18</xdr:row>
      <xdr:rowOff>109537</xdr:rowOff>
    </xdr:to>
    <xdr:graphicFrame macro="">
      <xdr:nvGraphicFramePr>
        <xdr:cNvPr id="5" name="Chart 4">
          <a:extLst>
            <a:ext uri="{FF2B5EF4-FFF2-40B4-BE49-F238E27FC236}">
              <a16:creationId xmlns:a16="http://schemas.microsoft.com/office/drawing/2014/main" id="{A4436002-F44B-41B2-9AA3-D586F5102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21</xdr:row>
      <xdr:rowOff>85725</xdr:rowOff>
    </xdr:from>
    <xdr:to>
      <xdr:col>8</xdr:col>
      <xdr:colOff>390525</xdr:colOff>
      <xdr:row>32</xdr:row>
      <xdr:rowOff>147638</xdr:rowOff>
    </xdr:to>
    <xdr:graphicFrame macro="">
      <xdr:nvGraphicFramePr>
        <xdr:cNvPr id="6" name="Chart 5">
          <a:extLst>
            <a:ext uri="{FF2B5EF4-FFF2-40B4-BE49-F238E27FC236}">
              <a16:creationId xmlns:a16="http://schemas.microsoft.com/office/drawing/2014/main" id="{9588928A-A137-4CC8-A8C9-84932E8FF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142875</xdr:rowOff>
    </xdr:from>
    <xdr:to>
      <xdr:col>0</xdr:col>
      <xdr:colOff>3657600</xdr:colOff>
      <xdr:row>31</xdr:row>
      <xdr:rowOff>42863</xdr:rowOff>
    </xdr:to>
    <xdr:graphicFrame macro="">
      <xdr:nvGraphicFramePr>
        <xdr:cNvPr id="7" name="Chart 6">
          <a:extLst>
            <a:ext uri="{FF2B5EF4-FFF2-40B4-BE49-F238E27FC236}">
              <a16:creationId xmlns:a16="http://schemas.microsoft.com/office/drawing/2014/main" id="{545A5AB0-14E5-4669-B29A-C09D57011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2657475</xdr:colOff>
      <xdr:row>33</xdr:row>
      <xdr:rowOff>142875</xdr:rowOff>
    </xdr:from>
    <xdr:to>
      <xdr:col>1</xdr:col>
      <xdr:colOff>514350</xdr:colOff>
      <xdr:row>48</xdr:row>
      <xdr:rowOff>104775</xdr:rowOff>
    </xdr:to>
    <mc:AlternateContent xmlns:mc="http://schemas.openxmlformats.org/markup-compatibility/2006">
      <mc:Choice xmlns:a14="http://schemas.microsoft.com/office/drawing/2010/main" Requires="a14">
        <xdr:graphicFrame macro="">
          <xdr:nvGraphicFramePr>
            <xdr:cNvPr id="8" name="Salesperson 1">
              <a:extLst>
                <a:ext uri="{FF2B5EF4-FFF2-40B4-BE49-F238E27FC236}">
                  <a16:creationId xmlns:a16="http://schemas.microsoft.com/office/drawing/2014/main" id="{58C75B0D-3A2E-49DA-8ADD-85475F54344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657475" y="6572250"/>
              <a:ext cx="1828800"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33</xdr:row>
      <xdr:rowOff>142875</xdr:rowOff>
    </xdr:from>
    <xdr:to>
      <xdr:col>6</xdr:col>
      <xdr:colOff>85725</xdr:colOff>
      <xdr:row>47</xdr:row>
      <xdr:rowOff>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0679C8CB-801D-4441-8C3B-4079C1EDD71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514975" y="657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32</xdr:row>
      <xdr:rowOff>95250</xdr:rowOff>
    </xdr:from>
    <xdr:to>
      <xdr:col>10</xdr:col>
      <xdr:colOff>0</xdr:colOff>
      <xdr:row>45</xdr:row>
      <xdr:rowOff>142875</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0D901315-C749-444B-AE8B-B3B9BDAEB6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867650" y="6334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3.659171874999" createdVersion="8" refreshedVersion="8" minRefreshableVersion="3" recordCount="200" xr:uid="{D16F0E4C-F67F-4FB4-82BF-951626C1DD73}">
  <cacheSource type="worksheet">
    <worksheetSource name="SalesData"/>
  </cacheSource>
  <cacheFields count="15">
    <cacheField name="OrderID" numFmtId="0">
      <sharedItems containsSemiMixedTypes="0" containsString="0" containsNumber="1" containsInteger="1" minValue="1001" maxValue="1200"/>
    </cacheField>
    <cacheField name="Date" numFmtId="164">
      <sharedItems containsSemiMixedTypes="0" containsNonDate="0" containsDate="1" containsString="0" minDate="2025-01-01T00:00:00" maxDate="2025-07-20T00:00:00" count="200">
        <d v="2025-03-16T00:00:00"/>
        <d v="2025-05-29T00:00:00"/>
        <d v="2025-04-09T00:00:00"/>
        <d v="2025-04-28T00:00:00"/>
        <d v="2025-03-08T00:00:00"/>
        <d v="2025-05-24T00:00:00"/>
        <d v="2025-03-30T00:00:00"/>
        <d v="2025-01-05T00:00:00"/>
        <d v="2025-03-15T00:00:00"/>
        <d v="2025-05-17T00:00:00"/>
        <d v="2025-05-18T00:00:00"/>
        <d v="2025-07-12T00:00:00"/>
        <d v="2025-07-13T00:00:00"/>
        <d v="2025-07-06T00:00:00"/>
        <d v="2025-01-19T00:00:00"/>
        <d v="2025-03-29T00:00:00"/>
        <d v="2025-02-18T00:00:00"/>
        <d v="2025-05-15T00:00:00"/>
        <d v="2025-03-27T00:00:00"/>
        <d v="2025-03-19T00:00:00"/>
        <d v="2025-06-20T00:00:00"/>
        <d v="2025-02-21T00:00:00"/>
        <d v="2025-02-03T00:00:00"/>
        <d v="2025-03-23T00:00:00"/>
        <d v="2025-01-04T00:00:00"/>
        <d v="2025-05-06T00:00:00"/>
        <d v="2025-03-21T00:00:00"/>
        <d v="2025-05-09T00:00:00"/>
        <d v="2025-02-22T00:00:00"/>
        <d v="2025-02-27T00:00:00"/>
        <d v="2025-02-05T00:00:00"/>
        <d v="2025-05-03T00:00:00"/>
        <d v="2025-01-06T00:00:00"/>
        <d v="2025-06-14T00:00:00"/>
        <d v="2025-07-18T00:00:00"/>
        <d v="2025-04-01T00:00:00"/>
        <d v="2025-02-12T00:00:00"/>
        <d v="2025-06-24T00:00:00"/>
        <d v="2025-03-18T00:00:00"/>
        <d v="2025-01-10T00:00:00"/>
        <d v="2025-02-19T00:00:00"/>
        <d v="2025-07-05T00:00:00"/>
        <d v="2025-06-13T00:00:00"/>
        <d v="2025-01-14T00:00:00"/>
        <d v="2025-03-01T00:00:00"/>
        <d v="2025-04-17T00:00:00"/>
        <d v="2025-03-06T00:00:00"/>
        <d v="2025-03-05T00:00:00"/>
        <d v="2025-04-21T00:00:00"/>
        <d v="2025-06-02T00:00:00"/>
        <d v="2025-06-16T00:00:00"/>
        <d v="2025-04-13T00:00:00"/>
        <d v="2025-03-24T00:00:00"/>
        <d v="2025-05-23T00:00:00"/>
        <d v="2025-01-20T00:00:00"/>
        <d v="2025-06-21T00:00:00"/>
        <d v="2025-05-21T00:00:00"/>
        <d v="2025-05-07T00:00:00"/>
        <d v="2025-03-09T00:00:00"/>
        <d v="2025-06-29T00:00:00"/>
        <d v="2025-02-02T00:00:00"/>
        <d v="2025-05-02T00:00:00"/>
        <d v="2025-05-08T00:00:00"/>
        <d v="2025-05-30T00:00:00"/>
        <d v="2025-04-08T00:00:00"/>
        <d v="2025-04-11T00:00:00"/>
        <d v="2025-04-10T00:00:00"/>
        <d v="2025-03-07T00:00:00"/>
        <d v="2025-06-19T00:00:00"/>
        <d v="2025-05-19T00:00:00"/>
        <d v="2025-02-17T00:00:00"/>
        <d v="2025-07-01T00:00:00"/>
        <d v="2025-01-07T00:00:00"/>
        <d v="2025-01-16T00:00:00"/>
        <d v="2025-02-10T00:00:00"/>
        <d v="2025-06-12T00:00:00"/>
        <d v="2025-02-09T00:00:00"/>
        <d v="2025-06-15T00:00:00"/>
        <d v="2025-04-14T00:00:00"/>
        <d v="2025-01-24T00:00:00"/>
        <d v="2025-05-31T00:00:00"/>
        <d v="2025-07-03T00:00:00"/>
        <d v="2025-01-11T00:00:00"/>
        <d v="2025-01-28T00:00:00"/>
        <d v="2025-05-14T00:00:00"/>
        <d v="2025-01-22T00:00:00"/>
        <d v="2025-01-27T00:00:00"/>
        <d v="2025-01-26T00:00:00"/>
        <d v="2025-04-20T00:00:00"/>
        <d v="2025-03-04T00:00:00"/>
        <d v="2025-05-22T00:00:00"/>
        <d v="2025-06-03T00:00:00"/>
        <d v="2025-02-26T00:00:00"/>
        <d v="2025-04-07T00:00:00"/>
        <d v="2025-06-18T00:00:00"/>
        <d v="2025-05-05T00:00:00"/>
        <d v="2025-03-31T00:00:00"/>
        <d v="2025-05-20T00:00:00"/>
        <d v="2025-02-16T00:00:00"/>
        <d v="2025-02-25T00:00:00"/>
        <d v="2025-04-05T00:00:00"/>
        <d v="2025-07-19T00:00:00"/>
        <d v="2025-07-10T00:00:00"/>
        <d v="2025-07-11T00:00:00"/>
        <d v="2025-02-04T00:00:00"/>
        <d v="2025-01-13T00:00:00"/>
        <d v="2025-05-12T00:00:00"/>
        <d v="2025-04-26T00:00:00"/>
        <d v="2025-01-09T00:00:00"/>
        <d v="2025-07-08T00:00:00"/>
        <d v="2025-05-10T00:00:00"/>
        <d v="2025-01-15T00:00:00"/>
        <d v="2025-05-27T00:00:00"/>
        <d v="2025-04-30T00:00:00"/>
        <d v="2025-06-25T00:00:00"/>
        <d v="2025-01-23T00:00:00"/>
        <d v="2025-01-25T00:00:00"/>
        <d v="2025-01-31T00:00:00"/>
        <d v="2025-04-04T00:00:00"/>
        <d v="2025-03-20T00:00:00"/>
        <d v="2025-06-08T00:00:00"/>
        <d v="2025-03-22T00:00:00"/>
        <d v="2025-05-01T00:00:00"/>
        <d v="2025-02-15T00:00:00"/>
        <d v="2025-01-18T00:00:00"/>
        <d v="2025-04-18T00:00:00"/>
        <d v="2025-04-25T00:00:00"/>
        <d v="2025-04-29T00:00:00"/>
        <d v="2025-03-26T00:00:00"/>
        <d v="2025-01-01T00:00:00"/>
        <d v="2025-02-11T00:00:00"/>
        <d v="2025-03-02T00:00:00"/>
        <d v="2025-03-12T00:00:00"/>
        <d v="2025-03-03T00:00:00"/>
        <d v="2025-06-07T00:00:00"/>
        <d v="2025-02-24T00:00:00"/>
        <d v="2025-03-10T00:00:00"/>
        <d v="2025-02-06T00:00:00"/>
        <d v="2025-05-04T00:00:00"/>
        <d v="2025-02-23T00:00:00"/>
        <d v="2025-03-25T00:00:00"/>
        <d v="2025-07-09T00:00:00"/>
        <d v="2025-07-04T00:00:00"/>
        <d v="2025-05-16T00:00:00"/>
        <d v="2025-01-02T00:00:00"/>
        <d v="2025-06-10T00:00:00"/>
        <d v="2025-04-23T00:00:00"/>
        <d v="2025-06-26T00:00:00"/>
        <d v="2025-06-17T00:00:00"/>
        <d v="2025-07-14T00:00:00"/>
        <d v="2025-05-25T00:00:00"/>
        <d v="2025-04-24T00:00:00"/>
        <d v="2025-07-17T00:00:00"/>
        <d v="2025-02-13T00:00:00"/>
        <d v="2025-04-15T00:00:00"/>
        <d v="2025-06-30T00:00:00"/>
        <d v="2025-02-01T00:00:00"/>
        <d v="2025-02-28T00:00:00"/>
        <d v="2025-03-11T00:00:00"/>
        <d v="2025-05-28T00:00:00"/>
        <d v="2025-04-12T00:00:00"/>
        <d v="2025-01-03T00:00:00"/>
        <d v="2025-06-09T00:00:00"/>
        <d v="2025-07-16T00:00:00"/>
        <d v="2025-04-22T00:00:00"/>
        <d v="2025-01-21T00:00:00"/>
        <d v="2025-05-26T00:00:00"/>
        <d v="2025-02-14T00:00:00"/>
        <d v="2025-05-11T00:00:00"/>
        <d v="2025-06-28T00:00:00"/>
        <d v="2025-01-12T00:00:00"/>
        <d v="2025-06-27T00:00:00"/>
        <d v="2025-02-20T00:00:00"/>
        <d v="2025-01-29T00:00:00"/>
        <d v="2025-06-01T00:00:00"/>
        <d v="2025-06-05T00:00:00"/>
        <d v="2025-07-07T00:00:00"/>
        <d v="2025-02-08T00:00:00"/>
        <d v="2025-01-30T00:00:00"/>
        <d v="2025-04-02T00:00:00"/>
        <d v="2025-01-08T00:00:00"/>
        <d v="2025-04-03T00:00:00"/>
        <d v="2025-06-04T00:00:00"/>
        <d v="2025-07-15T00:00:00"/>
        <d v="2025-06-11T00:00:00"/>
        <d v="2025-04-06T00:00:00"/>
        <d v="2025-02-07T00:00:00"/>
        <d v="2025-04-16T00:00:00"/>
        <d v="2025-06-06T00:00:00"/>
        <d v="2025-06-23T00:00:00"/>
        <d v="2025-03-17T00:00:00"/>
        <d v="2025-01-17T00:00:00"/>
        <d v="2025-04-19T00:00:00"/>
        <d v="2025-03-14T00:00:00"/>
        <d v="2025-05-13T00:00:00"/>
        <d v="2025-03-28T00:00:00"/>
        <d v="2025-07-02T00:00:00"/>
        <d v="2025-06-22T00:00:00"/>
        <d v="2025-04-27T00:00:00"/>
        <d v="2025-03-13T00:00:00"/>
      </sharedItems>
      <fieldGroup par="14"/>
    </cacheField>
    <cacheField name="Region" numFmtId="0">
      <sharedItems count="4">
        <s v="East"/>
        <s v="South"/>
        <s v="North"/>
        <s v="West"/>
      </sharedItems>
    </cacheField>
    <cacheField name="Salesperson" numFmtId="0">
      <sharedItems count="12">
        <s v="     Priya"/>
        <s v="David"/>
        <s v="Priya"/>
        <s v="           Priya"/>
        <s v="Anita"/>
        <s v="           Anita"/>
        <s v="          Anita"/>
        <s v="Sara"/>
        <s v="John"/>
        <s v="             John"/>
        <s v="         Priya"/>
        <s v="Rahul"/>
      </sharedItems>
    </cacheField>
    <cacheField name="Product" numFmtId="0">
      <sharedItems/>
    </cacheField>
    <cacheField name="Lookup_Category" numFmtId="0">
      <sharedItems/>
    </cacheField>
    <cacheField name="Category" numFmtId="0">
      <sharedItems count="4">
        <s v="Accessories"/>
        <s v="        Accessories"/>
        <s v="Electronics"/>
        <s v="         Electronics"/>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610" maxValue="50199"/>
    </cacheField>
    <cacheField name="Sales" numFmtId="0">
      <sharedItems containsSemiMixedTypes="0" containsString="0" containsNumber="1" containsInteger="1" minValue="854" maxValue="500800"/>
    </cacheField>
    <cacheField name="Cost" numFmtId="0">
      <sharedItems containsSemiMixedTypes="0" containsString="0" containsNumber="1" containsInteger="1" minValue="683" maxValue="400640"/>
    </cacheField>
    <cacheField name="Profit" numFmtId="0">
      <sharedItems containsSemiMixedTypes="0" containsString="0" containsNumber="1" containsInteger="1" minValue="171" maxValue="100160"/>
    </cacheField>
    <cacheField name="Column1" numFmtId="0">
      <sharedItems/>
    </cacheField>
    <cacheField name="Days (Date)" numFmtId="0" databaseField="0">
      <fieldGroup base="1">
        <rangePr groupBy="days" startDate="2025-01-01T00:00:00" endDate="2025-07-2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7-2025"/>
        </groupItems>
      </fieldGroup>
    </cacheField>
    <cacheField name="Months (Date)" numFmtId="0" databaseField="0">
      <fieldGroup base="1">
        <rangePr groupBy="months" startDate="2025-01-01T00:00:00" endDate="2025-07-20T00:00:00"/>
        <groupItems count="14">
          <s v="&lt;01-01-2025"/>
          <s v="Jan"/>
          <s v="Feb"/>
          <s v="Mar"/>
          <s v="Apr"/>
          <s v="May"/>
          <s v="Jun"/>
          <s v="Jul"/>
          <s v="Aug"/>
          <s v="Sep"/>
          <s v="Oct"/>
          <s v="Nov"/>
          <s v="Dec"/>
          <s v="&gt;20-07-2025"/>
        </groupItems>
      </fieldGroup>
    </cacheField>
  </cacheFields>
  <extLst>
    <ext xmlns:x14="http://schemas.microsoft.com/office/spreadsheetml/2009/9/main" uri="{725AE2AE-9491-48be-B2B4-4EB974FC3084}">
      <x14:pivotCacheDefinition pivotCacheId="620110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75"/>
    <x v="0"/>
    <x v="0"/>
    <x v="0"/>
    <s v="Mouse"/>
    <s v="Accessories"/>
    <x v="0"/>
    <n v="1"/>
    <n v="854"/>
    <n v="854"/>
    <n v="683"/>
    <n v="171"/>
    <s v="Low Profit"/>
  </r>
  <r>
    <n v="1149"/>
    <x v="1"/>
    <x v="1"/>
    <x v="1"/>
    <s v="     Keyboard"/>
    <s v="Accessories"/>
    <x v="0"/>
    <n v="1"/>
    <n v="1102"/>
    <n v="1102"/>
    <n v="881"/>
    <n v="221"/>
    <s v="High Profit"/>
  </r>
  <r>
    <n v="1099"/>
    <x v="2"/>
    <x v="1"/>
    <x v="2"/>
    <s v="Keyboard"/>
    <s v="        Accessories"/>
    <x v="1"/>
    <n v="1"/>
    <n v="1157"/>
    <n v="1157"/>
    <n v="925"/>
    <n v="232"/>
    <s v="High Profit"/>
  </r>
  <r>
    <n v="1118"/>
    <x v="3"/>
    <x v="1"/>
    <x v="3"/>
    <s v="Keyboard"/>
    <s v="        Accessories"/>
    <x v="0"/>
    <n v="1"/>
    <n v="1198"/>
    <n v="1198"/>
    <n v="958"/>
    <n v="240"/>
    <s v="High Profit"/>
  </r>
  <r>
    <n v="1067"/>
    <x v="4"/>
    <x v="1"/>
    <x v="4"/>
    <s v="Keyboard"/>
    <s v="        Accessories"/>
    <x v="0"/>
    <n v="1"/>
    <n v="1291"/>
    <n v="1291"/>
    <n v="1032"/>
    <n v="259"/>
    <s v="High Profit"/>
  </r>
  <r>
    <n v="1144"/>
    <x v="5"/>
    <x v="2"/>
    <x v="4"/>
    <s v="Keyboard"/>
    <s v="        Accessories"/>
    <x v="0"/>
    <n v="1"/>
    <n v="1370"/>
    <n v="1370"/>
    <n v="1096"/>
    <n v="274"/>
    <s v="High Profit"/>
  </r>
  <r>
    <n v="1089"/>
    <x v="6"/>
    <x v="1"/>
    <x v="5"/>
    <s v="Headphones"/>
    <s v="Accessories"/>
    <x v="0"/>
    <n v="1"/>
    <n v="2827"/>
    <n v="2827"/>
    <n v="2261"/>
    <n v="566"/>
    <s v="High Profit"/>
  </r>
  <r>
    <n v="1005"/>
    <x v="7"/>
    <x v="2"/>
    <x v="1"/>
    <s v="Headphones"/>
    <s v="Accessories"/>
    <x v="0"/>
    <n v="1"/>
    <n v="3106"/>
    <n v="3106"/>
    <n v="2484"/>
    <n v="622"/>
    <s v="High Profit"/>
  </r>
  <r>
    <n v="1074"/>
    <x v="8"/>
    <x v="1"/>
    <x v="6"/>
    <s v="Headphones"/>
    <s v="Accessories"/>
    <x v="1"/>
    <n v="1"/>
    <n v="3118"/>
    <n v="3118"/>
    <n v="2494"/>
    <n v="624"/>
    <s v="High Profit"/>
  </r>
  <r>
    <n v="1137"/>
    <x v="9"/>
    <x v="3"/>
    <x v="4"/>
    <s v="Monitor"/>
    <s v="Electronics"/>
    <x v="2"/>
    <n v="1"/>
    <n v="11898"/>
    <n v="11898"/>
    <n v="9518"/>
    <n v="2380"/>
    <s v="High Profit"/>
  </r>
  <r>
    <n v="1138"/>
    <x v="10"/>
    <x v="1"/>
    <x v="7"/>
    <s v="Monitor"/>
    <s v="Electronics"/>
    <x v="3"/>
    <n v="1"/>
    <n v="11994"/>
    <n v="11994"/>
    <n v="9595"/>
    <n v="2399"/>
    <s v="High Profit"/>
  </r>
  <r>
    <n v="1193"/>
    <x v="11"/>
    <x v="3"/>
    <x v="8"/>
    <s v="Monitor"/>
    <s v="Electronics"/>
    <x v="2"/>
    <n v="1"/>
    <n v="12093"/>
    <n v="12093"/>
    <n v="9674"/>
    <n v="2419"/>
    <s v="High Profit"/>
  </r>
  <r>
    <n v="1194"/>
    <x v="12"/>
    <x v="1"/>
    <x v="9"/>
    <s v="Monitor"/>
    <s v="Electronics"/>
    <x v="2"/>
    <n v="1"/>
    <n v="12153"/>
    <n v="12153"/>
    <n v="9722"/>
    <n v="2431"/>
    <s v="High Profit"/>
  </r>
  <r>
    <n v="1187"/>
    <x v="13"/>
    <x v="0"/>
    <x v="1"/>
    <s v="Printer"/>
    <s v="Electronics"/>
    <x v="2"/>
    <n v="1"/>
    <n v="14813"/>
    <n v="14813"/>
    <n v="11850"/>
    <n v="2963"/>
    <s v="High Profit"/>
  </r>
  <r>
    <n v="1019"/>
    <x v="14"/>
    <x v="2"/>
    <x v="7"/>
    <s v="Printer"/>
    <s v="Electronics"/>
    <x v="2"/>
    <n v="1"/>
    <n v="14894"/>
    <n v="14894"/>
    <n v="11915"/>
    <n v="2979"/>
    <s v="High Profit"/>
  </r>
  <r>
    <n v="1088"/>
    <x v="15"/>
    <x v="2"/>
    <x v="10"/>
    <s v="Printer"/>
    <s v="Electronics"/>
    <x v="2"/>
    <n v="1"/>
    <n v="15078"/>
    <n v="15078"/>
    <n v="12062"/>
    <n v="3016"/>
    <s v="High Profit"/>
  </r>
  <r>
    <n v="1049"/>
    <x v="16"/>
    <x v="3"/>
    <x v="1"/>
    <s v="Printer"/>
    <s v="Electronics"/>
    <x v="2"/>
    <n v="1"/>
    <n v="15198"/>
    <n v="15198"/>
    <n v="12158"/>
    <n v="3040"/>
    <s v="High Profit"/>
  </r>
  <r>
    <n v="1135"/>
    <x v="17"/>
    <x v="0"/>
    <x v="7"/>
    <s v="Tablet"/>
    <s v="Electronics"/>
    <x v="2"/>
    <n v="1"/>
    <n v="24853"/>
    <n v="24853"/>
    <n v="19882"/>
    <n v="4971"/>
    <s v="High Profit"/>
  </r>
  <r>
    <n v="1086"/>
    <x v="18"/>
    <x v="2"/>
    <x v="11"/>
    <s v="Laptop"/>
    <s v="Electronics"/>
    <x v="2"/>
    <n v="1"/>
    <n v="49852"/>
    <n v="49852"/>
    <n v="39881"/>
    <n v="9971"/>
    <s v="High Profit"/>
  </r>
  <r>
    <n v="1078"/>
    <x v="19"/>
    <x v="0"/>
    <x v="1"/>
    <s v="Laptop"/>
    <s v="Electronics"/>
    <x v="2"/>
    <n v="1"/>
    <n v="49859"/>
    <n v="49859"/>
    <n v="39887"/>
    <n v="9972"/>
    <s v="High Profit"/>
  </r>
  <r>
    <n v="1171"/>
    <x v="20"/>
    <x v="2"/>
    <x v="11"/>
    <s v="Laptop"/>
    <s v="Electronics"/>
    <x v="2"/>
    <n v="1"/>
    <n v="49989"/>
    <n v="49989"/>
    <n v="39991"/>
    <n v="9998"/>
    <s v="High Profit"/>
  </r>
  <r>
    <n v="1052"/>
    <x v="21"/>
    <x v="0"/>
    <x v="7"/>
    <s v="Laptop"/>
    <s v="Electronics"/>
    <x v="2"/>
    <n v="1"/>
    <n v="50110"/>
    <n v="50110"/>
    <n v="40088"/>
    <n v="10022"/>
    <s v="High Profit"/>
  </r>
  <r>
    <n v="1034"/>
    <x v="22"/>
    <x v="0"/>
    <x v="4"/>
    <s v="Mouse"/>
    <s v="Accessories"/>
    <x v="0"/>
    <n v="2"/>
    <n v="617"/>
    <n v="1234"/>
    <n v="987"/>
    <n v="247"/>
    <s v="High Profit"/>
  </r>
  <r>
    <n v="1082"/>
    <x v="23"/>
    <x v="1"/>
    <x v="4"/>
    <s v="Mouse"/>
    <s v="Accessories"/>
    <x v="0"/>
    <n v="2"/>
    <n v="650"/>
    <n v="1300"/>
    <n v="1040"/>
    <n v="260"/>
    <s v="High Profit"/>
  </r>
  <r>
    <n v="1004"/>
    <x v="24"/>
    <x v="0"/>
    <x v="11"/>
    <s v="Mouse"/>
    <s v="Accessories"/>
    <x v="0"/>
    <n v="2"/>
    <n v="685"/>
    <n v="1370"/>
    <n v="1096"/>
    <n v="274"/>
    <s v="High Profit"/>
  </r>
  <r>
    <n v="1126"/>
    <x v="25"/>
    <x v="2"/>
    <x v="8"/>
    <s v="Mouse"/>
    <s v="Accessories"/>
    <x v="0"/>
    <n v="2"/>
    <n v="709"/>
    <n v="1418"/>
    <n v="1134"/>
    <n v="284"/>
    <s v="High Profit"/>
  </r>
  <r>
    <n v="1080"/>
    <x v="26"/>
    <x v="2"/>
    <x v="1"/>
    <s v="Mouse"/>
    <s v="Accessories"/>
    <x v="0"/>
    <n v="2"/>
    <n v="754"/>
    <n v="1508"/>
    <n v="1206"/>
    <n v="302"/>
    <s v="High Profit"/>
  </r>
  <r>
    <n v="1129"/>
    <x v="27"/>
    <x v="0"/>
    <x v="1"/>
    <s v="Mouse"/>
    <s v="Accessories"/>
    <x v="0"/>
    <n v="2"/>
    <n v="777"/>
    <n v="1554"/>
    <n v="1243"/>
    <n v="311"/>
    <s v="High Profit"/>
  </r>
  <r>
    <n v="1053"/>
    <x v="28"/>
    <x v="1"/>
    <x v="1"/>
    <s v="Mouse"/>
    <s v="Accessories"/>
    <x v="0"/>
    <n v="2"/>
    <n v="792"/>
    <n v="1584"/>
    <n v="1267"/>
    <n v="317"/>
    <s v="High Profit"/>
  </r>
  <r>
    <n v="1058"/>
    <x v="29"/>
    <x v="2"/>
    <x v="1"/>
    <s v="Mouse"/>
    <s v="Accessories"/>
    <x v="0"/>
    <n v="2"/>
    <n v="904"/>
    <n v="1808"/>
    <n v="1446"/>
    <n v="362"/>
    <s v="High Profit"/>
  </r>
  <r>
    <n v="1036"/>
    <x v="30"/>
    <x v="2"/>
    <x v="7"/>
    <s v="Keyboard"/>
    <s v="        Accessories"/>
    <x v="0"/>
    <n v="2"/>
    <n v="1122"/>
    <n v="2244"/>
    <n v="1795"/>
    <n v="449"/>
    <s v="High Profit"/>
  </r>
  <r>
    <n v="1123"/>
    <x v="31"/>
    <x v="2"/>
    <x v="1"/>
    <s v="Keyboard"/>
    <s v="        Accessories"/>
    <x v="0"/>
    <n v="2"/>
    <n v="1154"/>
    <n v="2308"/>
    <n v="1846"/>
    <n v="462"/>
    <s v="High Profit"/>
  </r>
  <r>
    <n v="1006"/>
    <x v="32"/>
    <x v="1"/>
    <x v="11"/>
    <s v="Headphones"/>
    <s v="Accessories"/>
    <x v="0"/>
    <n v="2"/>
    <n v="2881"/>
    <n v="5762"/>
    <n v="4609"/>
    <n v="1153"/>
    <s v="High Profit"/>
  </r>
  <r>
    <n v="1165"/>
    <x v="33"/>
    <x v="2"/>
    <x v="1"/>
    <s v="Headphones"/>
    <s v="Accessories"/>
    <x v="0"/>
    <n v="2"/>
    <n v="2960"/>
    <n v="5920"/>
    <n v="4736"/>
    <n v="1184"/>
    <s v="High Profit"/>
  </r>
  <r>
    <n v="1199"/>
    <x v="34"/>
    <x v="3"/>
    <x v="4"/>
    <s v="Headphones"/>
    <s v="Accessories"/>
    <x v="0"/>
    <n v="2"/>
    <n v="3008"/>
    <n v="6016"/>
    <n v="4812"/>
    <n v="1204"/>
    <s v="High Profit"/>
  </r>
  <r>
    <n v="1091"/>
    <x v="35"/>
    <x v="0"/>
    <x v="11"/>
    <s v="Headphones"/>
    <s v="Accessories"/>
    <x v="0"/>
    <n v="2"/>
    <n v="3160"/>
    <n v="6320"/>
    <n v="5056"/>
    <n v="1264"/>
    <s v="High Profit"/>
  </r>
  <r>
    <n v="1043"/>
    <x v="36"/>
    <x v="1"/>
    <x v="2"/>
    <s v="Headphones"/>
    <s v="Accessories"/>
    <x v="0"/>
    <n v="2"/>
    <n v="3167"/>
    <n v="6334"/>
    <n v="5067"/>
    <n v="1267"/>
    <s v="High Profit"/>
  </r>
  <r>
    <n v="1175"/>
    <x v="37"/>
    <x v="2"/>
    <x v="4"/>
    <s v="Monitor"/>
    <s v="Electronics"/>
    <x v="2"/>
    <n v="2"/>
    <n v="12014"/>
    <n v="24028"/>
    <n v="19222"/>
    <n v="4806"/>
    <s v="High Profit"/>
  </r>
  <r>
    <n v="1077"/>
    <x v="38"/>
    <x v="1"/>
    <x v="11"/>
    <s v="Monitor"/>
    <s v="Electronics"/>
    <x v="2"/>
    <n v="2"/>
    <n v="12053"/>
    <n v="24106"/>
    <n v="19284"/>
    <n v="4822"/>
    <s v="High Profit"/>
  </r>
  <r>
    <n v="1010"/>
    <x v="39"/>
    <x v="2"/>
    <x v="8"/>
    <s v="Monitor"/>
    <s v="Electronics"/>
    <x v="2"/>
    <n v="2"/>
    <n v="12194"/>
    <n v="24388"/>
    <n v="19510"/>
    <n v="4878"/>
    <s v="High Profit"/>
  </r>
  <r>
    <n v="1050"/>
    <x v="40"/>
    <x v="1"/>
    <x v="7"/>
    <s v="Tablet"/>
    <s v="Electronics"/>
    <x v="2"/>
    <n v="2"/>
    <n v="24918"/>
    <n v="49836"/>
    <n v="39868"/>
    <n v="9968"/>
    <s v="High Profit"/>
  </r>
  <r>
    <n v="1186"/>
    <x v="41"/>
    <x v="0"/>
    <x v="7"/>
    <s v="Tablet"/>
    <s v="Electronics"/>
    <x v="2"/>
    <n v="2"/>
    <n v="24938"/>
    <n v="49876"/>
    <n v="39900"/>
    <n v="9976"/>
    <s v="High Profit"/>
  </r>
  <r>
    <n v="1164"/>
    <x v="42"/>
    <x v="1"/>
    <x v="7"/>
    <s v="Tablet"/>
    <s v="Electronics"/>
    <x v="2"/>
    <n v="2"/>
    <n v="25009"/>
    <n v="50018"/>
    <n v="40014"/>
    <n v="10004"/>
    <s v="High Profit"/>
  </r>
  <r>
    <n v="1014"/>
    <x v="43"/>
    <x v="1"/>
    <x v="4"/>
    <s v="Tablet"/>
    <s v="Electronics"/>
    <x v="2"/>
    <n v="2"/>
    <n v="25142"/>
    <n v="50284"/>
    <n v="40227"/>
    <n v="10057"/>
    <s v="High Profit"/>
  </r>
  <r>
    <n v="1060"/>
    <x v="44"/>
    <x v="2"/>
    <x v="8"/>
    <s v="Laptop"/>
    <s v="Electronics"/>
    <x v="2"/>
    <n v="2"/>
    <n v="49903"/>
    <n v="99806"/>
    <n v="79844"/>
    <n v="19962"/>
    <s v="High Profit"/>
  </r>
  <r>
    <n v="1107"/>
    <x v="45"/>
    <x v="0"/>
    <x v="4"/>
    <s v="Laptop"/>
    <s v="Electronics"/>
    <x v="2"/>
    <n v="2"/>
    <n v="50174"/>
    <n v="100348"/>
    <n v="80278"/>
    <n v="20070"/>
    <s v="High Profit"/>
  </r>
  <r>
    <n v="1065"/>
    <x v="46"/>
    <x v="1"/>
    <x v="2"/>
    <s v="Mouse"/>
    <s v="Accessories"/>
    <x v="0"/>
    <n v="3"/>
    <n v="705"/>
    <n v="2115"/>
    <n v="1692"/>
    <n v="423"/>
    <s v="High Profit"/>
  </r>
  <r>
    <n v="1064"/>
    <x v="47"/>
    <x v="3"/>
    <x v="4"/>
    <s v="Mouse"/>
    <s v="Accessories"/>
    <x v="0"/>
    <n v="3"/>
    <n v="897"/>
    <n v="2691"/>
    <n v="2152"/>
    <n v="539"/>
    <s v="High Profit"/>
  </r>
  <r>
    <n v="1111"/>
    <x v="48"/>
    <x v="3"/>
    <x v="7"/>
    <s v="Keyboard"/>
    <s v="        Accessories"/>
    <x v="0"/>
    <n v="3"/>
    <n v="1105"/>
    <n v="3315"/>
    <n v="2652"/>
    <n v="663"/>
    <s v="High Profit"/>
  </r>
  <r>
    <n v="1153"/>
    <x v="49"/>
    <x v="3"/>
    <x v="11"/>
    <s v="Keyboard"/>
    <s v="        Accessories"/>
    <x v="0"/>
    <n v="3"/>
    <n v="1117"/>
    <n v="3351"/>
    <n v="2680"/>
    <n v="671"/>
    <s v="High Profit"/>
  </r>
  <r>
    <n v="1167"/>
    <x v="50"/>
    <x v="0"/>
    <x v="11"/>
    <s v="Keyboard"/>
    <s v="        Accessories"/>
    <x v="0"/>
    <n v="3"/>
    <n v="1384"/>
    <n v="4152"/>
    <n v="3321"/>
    <n v="831"/>
    <s v="High Profit"/>
  </r>
  <r>
    <n v="1103"/>
    <x v="51"/>
    <x v="3"/>
    <x v="2"/>
    <s v="Headphones"/>
    <s v="Accessories"/>
    <x v="0"/>
    <n v="3"/>
    <n v="2826"/>
    <n v="8478"/>
    <n v="6782"/>
    <n v="1696"/>
    <s v="High Profit"/>
  </r>
  <r>
    <n v="1083"/>
    <x v="52"/>
    <x v="3"/>
    <x v="1"/>
    <s v="Headphones"/>
    <s v="Accessories"/>
    <x v="0"/>
    <n v="3"/>
    <n v="2886"/>
    <n v="8658"/>
    <n v="6926"/>
    <n v="1732"/>
    <s v="High Profit"/>
  </r>
  <r>
    <n v="1143"/>
    <x v="53"/>
    <x v="2"/>
    <x v="2"/>
    <s v="Headphones"/>
    <s v="Accessories"/>
    <x v="0"/>
    <n v="3"/>
    <n v="2974"/>
    <n v="8922"/>
    <n v="7137"/>
    <n v="1785"/>
    <s v="High Profit"/>
  </r>
  <r>
    <n v="1020"/>
    <x v="54"/>
    <x v="1"/>
    <x v="4"/>
    <s v="Headphones"/>
    <s v="Accessories"/>
    <x v="0"/>
    <n v="3"/>
    <n v="3000"/>
    <n v="9000"/>
    <n v="7200"/>
    <n v="1800"/>
    <s v="High Profit"/>
  </r>
  <r>
    <n v="1172"/>
    <x v="55"/>
    <x v="3"/>
    <x v="11"/>
    <s v="Headphones"/>
    <s v="Accessories"/>
    <x v="0"/>
    <n v="3"/>
    <n v="3085"/>
    <n v="9255"/>
    <n v="7404"/>
    <n v="1851"/>
    <s v="High Profit"/>
  </r>
  <r>
    <n v="1141"/>
    <x v="56"/>
    <x v="3"/>
    <x v="8"/>
    <s v="Headphones"/>
    <s v="Accessories"/>
    <x v="0"/>
    <n v="3"/>
    <n v="3108"/>
    <n v="9324"/>
    <n v="7459"/>
    <n v="1865"/>
    <s v="High Profit"/>
  </r>
  <r>
    <n v="1127"/>
    <x v="57"/>
    <x v="0"/>
    <x v="11"/>
    <s v="Headphones"/>
    <s v="Accessories"/>
    <x v="0"/>
    <n v="3"/>
    <n v="3199"/>
    <n v="9597"/>
    <n v="7677"/>
    <n v="1920"/>
    <s v="High Profit"/>
  </r>
  <r>
    <n v="1068"/>
    <x v="58"/>
    <x v="2"/>
    <x v="1"/>
    <s v="Monitor"/>
    <s v="Electronics"/>
    <x v="2"/>
    <n v="3"/>
    <n v="12062"/>
    <n v="36186"/>
    <n v="28948"/>
    <n v="7238"/>
    <s v="High Profit"/>
  </r>
  <r>
    <n v="1180"/>
    <x v="59"/>
    <x v="2"/>
    <x v="8"/>
    <s v="Printer"/>
    <s v="Electronics"/>
    <x v="2"/>
    <n v="3"/>
    <n v="14956"/>
    <n v="44868"/>
    <n v="35894"/>
    <n v="8974"/>
    <s v="High Profit"/>
  </r>
  <r>
    <n v="1033"/>
    <x v="60"/>
    <x v="3"/>
    <x v="11"/>
    <s v="Printer"/>
    <s v="Electronics"/>
    <x v="2"/>
    <n v="3"/>
    <n v="15034"/>
    <n v="45102"/>
    <n v="36081"/>
    <n v="9021"/>
    <s v="High Profit"/>
  </r>
  <r>
    <n v="1122"/>
    <x v="61"/>
    <x v="0"/>
    <x v="1"/>
    <s v="Printer"/>
    <s v="Electronics"/>
    <x v="2"/>
    <n v="3"/>
    <n v="15164"/>
    <n v="45492"/>
    <n v="36393"/>
    <n v="9099"/>
    <s v="High Profit"/>
  </r>
  <r>
    <n v="1128"/>
    <x v="62"/>
    <x v="0"/>
    <x v="11"/>
    <s v="Tablet"/>
    <s v="Electronics"/>
    <x v="2"/>
    <n v="3"/>
    <n v="24894"/>
    <n v="74682"/>
    <n v="59745"/>
    <n v="14937"/>
    <s v="High Profit"/>
  </r>
  <r>
    <n v="1150"/>
    <x v="63"/>
    <x v="0"/>
    <x v="8"/>
    <s v="Tablet"/>
    <s v="Electronics"/>
    <x v="2"/>
    <n v="3"/>
    <n v="24914"/>
    <n v="74742"/>
    <n v="59793"/>
    <n v="14949"/>
    <s v="High Profit"/>
  </r>
  <r>
    <n v="1098"/>
    <x v="64"/>
    <x v="2"/>
    <x v="2"/>
    <s v="Tablet"/>
    <s v="Electronics"/>
    <x v="2"/>
    <n v="3"/>
    <n v="25062"/>
    <n v="75186"/>
    <n v="60148"/>
    <n v="15038"/>
    <s v="High Profit"/>
  </r>
  <r>
    <n v="1101"/>
    <x v="65"/>
    <x v="0"/>
    <x v="2"/>
    <s v="Tablet"/>
    <s v="Electronics"/>
    <x v="2"/>
    <n v="3"/>
    <n v="25152"/>
    <n v="75456"/>
    <n v="60364"/>
    <n v="15092"/>
    <s v="High Profit"/>
  </r>
  <r>
    <n v="1100"/>
    <x v="66"/>
    <x v="3"/>
    <x v="7"/>
    <s v="Tablet"/>
    <s v="Electronics"/>
    <x v="2"/>
    <n v="3"/>
    <n v="25200"/>
    <n v="75600"/>
    <n v="60480"/>
    <n v="15120"/>
    <s v="High Profit"/>
  </r>
  <r>
    <n v="1066"/>
    <x v="67"/>
    <x v="1"/>
    <x v="1"/>
    <s v="Laptop"/>
    <s v="Electronics"/>
    <x v="2"/>
    <n v="3"/>
    <n v="49827"/>
    <n v="149481"/>
    <n v="119584"/>
    <n v="29897"/>
    <s v="High Profit"/>
  </r>
  <r>
    <n v="1170"/>
    <x v="68"/>
    <x v="2"/>
    <x v="1"/>
    <s v="Laptop"/>
    <s v="Electronics"/>
    <x v="2"/>
    <n v="3"/>
    <n v="49913"/>
    <n v="149739"/>
    <n v="119791"/>
    <n v="29948"/>
    <s v="High Profit"/>
  </r>
  <r>
    <n v="1139"/>
    <x v="69"/>
    <x v="3"/>
    <x v="1"/>
    <s v="Mouse"/>
    <s v="Accessories"/>
    <x v="0"/>
    <n v="4"/>
    <n v="610"/>
    <n v="2440"/>
    <n v="1952"/>
    <n v="488"/>
    <s v="High Profit"/>
  </r>
  <r>
    <n v="1048"/>
    <x v="70"/>
    <x v="3"/>
    <x v="7"/>
    <s v="Mouse"/>
    <s v="Accessories"/>
    <x v="0"/>
    <n v="4"/>
    <n v="658"/>
    <n v="2632"/>
    <n v="2105"/>
    <n v="527"/>
    <s v="High Profit"/>
  </r>
  <r>
    <n v="1182"/>
    <x v="71"/>
    <x v="1"/>
    <x v="2"/>
    <s v="Mouse"/>
    <s v="Accessories"/>
    <x v="0"/>
    <n v="4"/>
    <n v="839"/>
    <n v="3356"/>
    <n v="2684"/>
    <n v="672"/>
    <s v="High Profit"/>
  </r>
  <r>
    <n v="1007"/>
    <x v="72"/>
    <x v="3"/>
    <x v="8"/>
    <s v="Mouse"/>
    <s v="Accessories"/>
    <x v="0"/>
    <n v="4"/>
    <n v="940"/>
    <n v="3760"/>
    <n v="3008"/>
    <n v="752"/>
    <s v="High Profit"/>
  </r>
  <r>
    <n v="1016"/>
    <x v="73"/>
    <x v="0"/>
    <x v="2"/>
    <s v="Mouse"/>
    <s v="Accessories"/>
    <x v="0"/>
    <n v="4"/>
    <n v="984"/>
    <n v="3936"/>
    <n v="3148"/>
    <n v="788"/>
    <s v="High Profit"/>
  </r>
  <r>
    <n v="1041"/>
    <x v="74"/>
    <x v="2"/>
    <x v="11"/>
    <s v="Keyboard"/>
    <s v="        Accessories"/>
    <x v="0"/>
    <n v="4"/>
    <n v="1375"/>
    <n v="5500"/>
    <n v="4400"/>
    <n v="1100"/>
    <s v="High Profit"/>
  </r>
  <r>
    <n v="1163"/>
    <x v="75"/>
    <x v="1"/>
    <x v="8"/>
    <s v="Headphones"/>
    <s v="Accessories"/>
    <x v="0"/>
    <n v="4"/>
    <n v="2873"/>
    <n v="11492"/>
    <n v="9193"/>
    <n v="2299"/>
    <s v="High Profit"/>
  </r>
  <r>
    <n v="1040"/>
    <x v="76"/>
    <x v="2"/>
    <x v="7"/>
    <s v="Headphones"/>
    <s v="Accessories"/>
    <x v="0"/>
    <n v="4"/>
    <n v="2889"/>
    <n v="11556"/>
    <n v="9244"/>
    <n v="2312"/>
    <s v="High Profit"/>
  </r>
  <r>
    <n v="1166"/>
    <x v="77"/>
    <x v="2"/>
    <x v="1"/>
    <s v="Headphones"/>
    <s v="Accessories"/>
    <x v="0"/>
    <n v="4"/>
    <n v="2947"/>
    <n v="11788"/>
    <n v="9430"/>
    <n v="2358"/>
    <s v="High Profit"/>
  </r>
  <r>
    <n v="1104"/>
    <x v="78"/>
    <x v="3"/>
    <x v="4"/>
    <s v="Headphones"/>
    <s v="Accessories"/>
    <x v="0"/>
    <n v="4"/>
    <n v="3088"/>
    <n v="12352"/>
    <n v="9881"/>
    <n v="2471"/>
    <s v="High Profit"/>
  </r>
  <r>
    <n v="1024"/>
    <x v="79"/>
    <x v="2"/>
    <x v="4"/>
    <s v="Monitor"/>
    <s v="Electronics"/>
    <x v="2"/>
    <n v="4"/>
    <n v="11976"/>
    <n v="47904"/>
    <n v="38323"/>
    <n v="9581"/>
    <s v="High Profit"/>
  </r>
  <r>
    <n v="1151"/>
    <x v="80"/>
    <x v="3"/>
    <x v="2"/>
    <s v="Monitor"/>
    <s v="Electronics"/>
    <x v="2"/>
    <n v="4"/>
    <n v="12144"/>
    <n v="48576"/>
    <n v="38860"/>
    <n v="9716"/>
    <s v="High Profit"/>
  </r>
  <r>
    <n v="1184"/>
    <x v="81"/>
    <x v="1"/>
    <x v="1"/>
    <s v="Monitor"/>
    <s v="Electronics"/>
    <x v="2"/>
    <n v="4"/>
    <n v="12179"/>
    <n v="48716"/>
    <n v="38972"/>
    <n v="9744"/>
    <s v="High Profit"/>
  </r>
  <r>
    <n v="1011"/>
    <x v="82"/>
    <x v="3"/>
    <x v="8"/>
    <s v="Printer"/>
    <s v="Electronics"/>
    <x v="2"/>
    <n v="4"/>
    <n v="14905"/>
    <n v="59620"/>
    <n v="47696"/>
    <n v="11924"/>
    <s v="High Profit"/>
  </r>
  <r>
    <n v="1028"/>
    <x v="83"/>
    <x v="3"/>
    <x v="11"/>
    <s v="Printer"/>
    <s v="Electronics"/>
    <x v="2"/>
    <n v="4"/>
    <n v="14906"/>
    <n v="59624"/>
    <n v="47699"/>
    <n v="11925"/>
    <s v="High Profit"/>
  </r>
  <r>
    <n v="1134"/>
    <x v="84"/>
    <x v="3"/>
    <x v="7"/>
    <s v="Printer"/>
    <s v="Electronics"/>
    <x v="2"/>
    <n v="4"/>
    <n v="14959"/>
    <n v="59836"/>
    <n v="47868"/>
    <n v="11968"/>
    <s v="High Profit"/>
  </r>
  <r>
    <n v="1022"/>
    <x v="85"/>
    <x v="0"/>
    <x v="1"/>
    <s v="Tablet"/>
    <s v="Electronics"/>
    <x v="2"/>
    <n v="4"/>
    <n v="25153"/>
    <n v="100612"/>
    <n v="80489"/>
    <n v="20123"/>
    <s v="High Profit"/>
  </r>
  <r>
    <n v="1027"/>
    <x v="86"/>
    <x v="2"/>
    <x v="7"/>
    <s v="Laptop"/>
    <s v="Electronics"/>
    <x v="2"/>
    <n v="4"/>
    <n v="49920"/>
    <n v="199680"/>
    <n v="159744"/>
    <n v="39936"/>
    <s v="High Profit"/>
  </r>
  <r>
    <n v="1026"/>
    <x v="87"/>
    <x v="3"/>
    <x v="4"/>
    <s v="Laptop"/>
    <s v="Electronics"/>
    <x v="2"/>
    <n v="4"/>
    <n v="49941"/>
    <n v="199764"/>
    <n v="159811"/>
    <n v="39953"/>
    <s v="High Profit"/>
  </r>
  <r>
    <n v="1110"/>
    <x v="88"/>
    <x v="1"/>
    <x v="4"/>
    <s v="Laptop"/>
    <s v="Electronics"/>
    <x v="2"/>
    <n v="4"/>
    <n v="50109"/>
    <n v="200436"/>
    <n v="160348"/>
    <n v="40088"/>
    <s v="High Profit"/>
  </r>
  <r>
    <n v="1063"/>
    <x v="89"/>
    <x v="1"/>
    <x v="7"/>
    <s v="Mouse"/>
    <s v="Accessories"/>
    <x v="0"/>
    <n v="5"/>
    <n v="799"/>
    <n v="3995"/>
    <n v="3196"/>
    <n v="799"/>
    <s v="High Profit"/>
  </r>
  <r>
    <n v="1142"/>
    <x v="90"/>
    <x v="3"/>
    <x v="4"/>
    <s v="Keyboard"/>
    <s v="        Accessories"/>
    <x v="0"/>
    <n v="5"/>
    <n v="1171"/>
    <n v="5855"/>
    <n v="4684"/>
    <n v="1171"/>
    <s v="High Profit"/>
  </r>
  <r>
    <n v="1154"/>
    <x v="91"/>
    <x v="2"/>
    <x v="8"/>
    <s v="Keyboard"/>
    <s v="        Accessories"/>
    <x v="0"/>
    <n v="5"/>
    <n v="1173"/>
    <n v="5865"/>
    <n v="4692"/>
    <n v="1173"/>
    <s v="High Profit"/>
  </r>
  <r>
    <n v="1057"/>
    <x v="92"/>
    <x v="0"/>
    <x v="7"/>
    <s v="Keyboard"/>
    <s v="        Accessories"/>
    <x v="0"/>
    <n v="5"/>
    <n v="1227"/>
    <n v="6135"/>
    <n v="4908"/>
    <n v="1227"/>
    <s v="High Profit"/>
  </r>
  <r>
    <n v="1097"/>
    <x v="93"/>
    <x v="3"/>
    <x v="11"/>
    <s v="Keyboard"/>
    <s v="        Accessories"/>
    <x v="0"/>
    <n v="5"/>
    <n v="1274"/>
    <n v="6370"/>
    <n v="5096"/>
    <n v="1274"/>
    <s v="High Profit"/>
  </r>
  <r>
    <n v="1169"/>
    <x v="94"/>
    <x v="1"/>
    <x v="11"/>
    <s v="Monitor"/>
    <s v="Electronics"/>
    <x v="2"/>
    <n v="5"/>
    <n v="11850"/>
    <n v="59250"/>
    <n v="47400"/>
    <n v="11850"/>
    <s v="High Profit"/>
  </r>
  <r>
    <n v="1125"/>
    <x v="95"/>
    <x v="1"/>
    <x v="1"/>
    <s v="Monitor"/>
    <s v="Electronics"/>
    <x v="2"/>
    <n v="5"/>
    <n v="12129"/>
    <n v="60645"/>
    <n v="48516"/>
    <n v="12129"/>
    <s v="High Profit"/>
  </r>
  <r>
    <n v="1090"/>
    <x v="96"/>
    <x v="0"/>
    <x v="1"/>
    <s v="Printer"/>
    <s v="Electronics"/>
    <x v="2"/>
    <n v="5"/>
    <n v="14898"/>
    <n v="74490"/>
    <n v="59592"/>
    <n v="14898"/>
    <s v="High Profit"/>
  </r>
  <r>
    <n v="1140"/>
    <x v="97"/>
    <x v="0"/>
    <x v="2"/>
    <s v="Printer"/>
    <s v="Electronics"/>
    <x v="2"/>
    <n v="5"/>
    <n v="14912"/>
    <n v="74560"/>
    <n v="59648"/>
    <n v="14912"/>
    <s v="High Profit"/>
  </r>
  <r>
    <n v="1047"/>
    <x v="98"/>
    <x v="1"/>
    <x v="8"/>
    <s v="Printer"/>
    <s v="Electronics"/>
    <x v="2"/>
    <n v="5"/>
    <n v="14986"/>
    <n v="74930"/>
    <n v="59944"/>
    <n v="14986"/>
    <s v="High Profit"/>
  </r>
  <r>
    <n v="1056"/>
    <x v="99"/>
    <x v="3"/>
    <x v="4"/>
    <s v="Printer"/>
    <s v="Electronics"/>
    <x v="2"/>
    <n v="5"/>
    <n v="15004"/>
    <n v="75020"/>
    <n v="60016"/>
    <n v="15004"/>
    <s v="High Profit"/>
  </r>
  <r>
    <n v="1095"/>
    <x v="100"/>
    <x v="2"/>
    <x v="8"/>
    <s v="Printer"/>
    <s v="Electronics"/>
    <x v="2"/>
    <n v="5"/>
    <n v="15124"/>
    <n v="75620"/>
    <n v="60496"/>
    <n v="15124"/>
    <s v="High Profit"/>
  </r>
  <r>
    <n v="1200"/>
    <x v="101"/>
    <x v="0"/>
    <x v="7"/>
    <s v="Tablet"/>
    <s v="Electronics"/>
    <x v="2"/>
    <n v="5"/>
    <n v="24831"/>
    <n v="124155"/>
    <n v="99324"/>
    <n v="24831"/>
    <s v="High Profit"/>
  </r>
  <r>
    <n v="1191"/>
    <x v="102"/>
    <x v="2"/>
    <x v="4"/>
    <s v="Tablet"/>
    <s v="Electronics"/>
    <x v="2"/>
    <n v="5"/>
    <n v="24840"/>
    <n v="124200"/>
    <n v="99360"/>
    <n v="24840"/>
    <s v="High Profit"/>
  </r>
  <r>
    <n v="1192"/>
    <x v="103"/>
    <x v="1"/>
    <x v="11"/>
    <s v="Tablet"/>
    <s v="Electronics"/>
    <x v="2"/>
    <n v="5"/>
    <n v="24841"/>
    <n v="124205"/>
    <n v="99364"/>
    <n v="24841"/>
    <s v="High Profit"/>
  </r>
  <r>
    <n v="1035"/>
    <x v="104"/>
    <x v="1"/>
    <x v="11"/>
    <s v="Tablet"/>
    <s v="Electronics"/>
    <x v="2"/>
    <n v="5"/>
    <n v="24959"/>
    <n v="124795"/>
    <n v="99836"/>
    <n v="24959"/>
    <s v="High Profit"/>
  </r>
  <r>
    <n v="1013"/>
    <x v="105"/>
    <x v="3"/>
    <x v="7"/>
    <s v="Laptop"/>
    <s v="Electronics"/>
    <x v="2"/>
    <n v="5"/>
    <n v="49986"/>
    <n v="249930"/>
    <n v="199944"/>
    <n v="49986"/>
    <s v="High Profit"/>
  </r>
  <r>
    <n v="1132"/>
    <x v="106"/>
    <x v="3"/>
    <x v="11"/>
    <s v="Laptop"/>
    <s v="Electronics"/>
    <x v="2"/>
    <n v="5"/>
    <n v="50123"/>
    <n v="250615"/>
    <n v="200492"/>
    <n v="50123"/>
    <s v="High Profit"/>
  </r>
  <r>
    <n v="1116"/>
    <x v="107"/>
    <x v="2"/>
    <x v="1"/>
    <s v="Laptop"/>
    <s v="Electronics"/>
    <x v="2"/>
    <n v="5"/>
    <n v="50151"/>
    <n v="250755"/>
    <n v="200604"/>
    <n v="50151"/>
    <s v="High Profit"/>
  </r>
  <r>
    <n v="1009"/>
    <x v="108"/>
    <x v="2"/>
    <x v="1"/>
    <s v="Laptop"/>
    <s v="Electronics"/>
    <x v="2"/>
    <n v="5"/>
    <n v="50167"/>
    <n v="250835"/>
    <n v="200668"/>
    <n v="50167"/>
    <s v="High Profit"/>
  </r>
  <r>
    <n v="1189"/>
    <x v="109"/>
    <x v="3"/>
    <x v="1"/>
    <s v="Mouse"/>
    <s v="Accessories"/>
    <x v="0"/>
    <n v="6"/>
    <n v="611"/>
    <n v="3666"/>
    <n v="2932"/>
    <n v="734"/>
    <s v="High Profit"/>
  </r>
  <r>
    <n v="1130"/>
    <x v="110"/>
    <x v="1"/>
    <x v="1"/>
    <s v="Mouse"/>
    <s v="Accessories"/>
    <x v="0"/>
    <n v="6"/>
    <n v="631"/>
    <n v="3786"/>
    <n v="3028"/>
    <n v="758"/>
    <s v="High Profit"/>
  </r>
  <r>
    <n v="1015"/>
    <x v="111"/>
    <x v="3"/>
    <x v="7"/>
    <s v="Mouse"/>
    <s v="Accessories"/>
    <x v="0"/>
    <n v="6"/>
    <n v="654"/>
    <n v="3924"/>
    <n v="3139"/>
    <n v="785"/>
    <s v="High Profit"/>
  </r>
  <r>
    <n v="1147"/>
    <x v="112"/>
    <x v="3"/>
    <x v="2"/>
    <s v="Mouse"/>
    <s v="Accessories"/>
    <x v="0"/>
    <n v="6"/>
    <n v="721"/>
    <n v="4326"/>
    <n v="3460"/>
    <n v="866"/>
    <s v="High Profit"/>
  </r>
  <r>
    <n v="1120"/>
    <x v="113"/>
    <x v="1"/>
    <x v="8"/>
    <s v="Keyboard"/>
    <s v="        Accessories"/>
    <x v="0"/>
    <n v="6"/>
    <n v="1081"/>
    <n v="6486"/>
    <n v="5188"/>
    <n v="1298"/>
    <s v="High Profit"/>
  </r>
  <r>
    <n v="1176"/>
    <x v="114"/>
    <x v="0"/>
    <x v="1"/>
    <s v="Keyboard"/>
    <s v="        Accessories"/>
    <x v="0"/>
    <n v="6"/>
    <n v="1112"/>
    <n v="6672"/>
    <n v="5337"/>
    <n v="1335"/>
    <s v="High Profit"/>
  </r>
  <r>
    <n v="1023"/>
    <x v="115"/>
    <x v="0"/>
    <x v="1"/>
    <s v="Keyboard"/>
    <s v="        Accessories"/>
    <x v="0"/>
    <n v="6"/>
    <n v="1147"/>
    <n v="6882"/>
    <n v="5505"/>
    <n v="1377"/>
    <s v="High Profit"/>
  </r>
  <r>
    <n v="1025"/>
    <x v="116"/>
    <x v="0"/>
    <x v="1"/>
    <s v="Keyboard"/>
    <s v="        Accessories"/>
    <x v="0"/>
    <n v="6"/>
    <n v="1377"/>
    <n v="8262"/>
    <n v="6609"/>
    <n v="1653"/>
    <s v="High Profit"/>
  </r>
  <r>
    <n v="1031"/>
    <x v="117"/>
    <x v="0"/>
    <x v="11"/>
    <s v="Headphones"/>
    <s v="Accessories"/>
    <x v="0"/>
    <n v="6"/>
    <n v="2857"/>
    <n v="17142"/>
    <n v="13713"/>
    <n v="3429"/>
    <s v="High Profit"/>
  </r>
  <r>
    <n v="1094"/>
    <x v="118"/>
    <x v="1"/>
    <x v="7"/>
    <s v="Headphones"/>
    <s v="Accessories"/>
    <x v="0"/>
    <n v="6"/>
    <n v="2992"/>
    <n v="17952"/>
    <n v="14361"/>
    <n v="3591"/>
    <s v="High Profit"/>
  </r>
  <r>
    <n v="1079"/>
    <x v="119"/>
    <x v="1"/>
    <x v="11"/>
    <s v="Headphones"/>
    <s v="Accessories"/>
    <x v="0"/>
    <n v="6"/>
    <n v="3120"/>
    <n v="18720"/>
    <n v="14976"/>
    <n v="3744"/>
    <s v="High Profit"/>
  </r>
  <r>
    <n v="1159"/>
    <x v="120"/>
    <x v="2"/>
    <x v="7"/>
    <s v="Headphones"/>
    <s v="Accessories"/>
    <x v="0"/>
    <n v="6"/>
    <n v="3161"/>
    <n v="18966"/>
    <n v="15172"/>
    <n v="3794"/>
    <s v="High Profit"/>
  </r>
  <r>
    <n v="1081"/>
    <x v="121"/>
    <x v="0"/>
    <x v="11"/>
    <s v="Tablet"/>
    <s v="Electronics"/>
    <x v="2"/>
    <n v="6"/>
    <n v="24880"/>
    <n v="149280"/>
    <n v="119424"/>
    <n v="29856"/>
    <s v="High Profit"/>
  </r>
  <r>
    <n v="1121"/>
    <x v="122"/>
    <x v="1"/>
    <x v="4"/>
    <s v="Tablet"/>
    <s v="Electronics"/>
    <x v="2"/>
    <n v="6"/>
    <n v="24944"/>
    <n v="149664"/>
    <n v="119731"/>
    <n v="29933"/>
    <s v="High Profit"/>
  </r>
  <r>
    <n v="1046"/>
    <x v="123"/>
    <x v="2"/>
    <x v="7"/>
    <s v="Laptop"/>
    <s v="Electronics"/>
    <x v="2"/>
    <n v="6"/>
    <n v="49822"/>
    <n v="298932"/>
    <n v="239145"/>
    <n v="59787"/>
    <s v="High Profit"/>
  </r>
  <r>
    <n v="1018"/>
    <x v="124"/>
    <x v="2"/>
    <x v="1"/>
    <s v="Laptop"/>
    <s v="Electronics"/>
    <x v="2"/>
    <n v="6"/>
    <n v="49882"/>
    <n v="299292"/>
    <n v="239433"/>
    <n v="59859"/>
    <s v="High Profit"/>
  </r>
  <r>
    <n v="1108"/>
    <x v="125"/>
    <x v="0"/>
    <x v="2"/>
    <s v="Laptop"/>
    <s v="Electronics"/>
    <x v="2"/>
    <n v="6"/>
    <n v="50028"/>
    <n v="300168"/>
    <n v="240134"/>
    <n v="60034"/>
    <s v="High Profit"/>
  </r>
  <r>
    <n v="1115"/>
    <x v="126"/>
    <x v="1"/>
    <x v="2"/>
    <s v="Laptop"/>
    <s v="Electronics"/>
    <x v="2"/>
    <n v="6"/>
    <n v="50101"/>
    <n v="300606"/>
    <n v="240484"/>
    <n v="60122"/>
    <s v="High Profit"/>
  </r>
  <r>
    <n v="1119"/>
    <x v="127"/>
    <x v="3"/>
    <x v="7"/>
    <s v="Mouse"/>
    <s v="Accessories"/>
    <x v="0"/>
    <n v="7"/>
    <n v="747"/>
    <n v="5229"/>
    <n v="4183"/>
    <n v="1046"/>
    <s v="High Profit"/>
  </r>
  <r>
    <n v="1085"/>
    <x v="128"/>
    <x v="1"/>
    <x v="11"/>
    <s v="Keyboard"/>
    <s v="        Accessories"/>
    <x v="0"/>
    <n v="7"/>
    <n v="1192"/>
    <n v="8344"/>
    <n v="6675"/>
    <n v="1669"/>
    <s v="High Profit"/>
  </r>
  <r>
    <n v="1001"/>
    <x v="129"/>
    <x v="0"/>
    <x v="4"/>
    <s v="Keyboard"/>
    <s v="        Accessories"/>
    <x v="0"/>
    <n v="7"/>
    <n v="1259"/>
    <n v="8813"/>
    <n v="7050"/>
    <n v="1763"/>
    <s v="High Profit"/>
  </r>
  <r>
    <n v="1042"/>
    <x v="130"/>
    <x v="1"/>
    <x v="4"/>
    <s v="Keyboard"/>
    <s v="        Accessories"/>
    <x v="0"/>
    <n v="7"/>
    <n v="1344"/>
    <n v="9408"/>
    <n v="7526"/>
    <n v="1882"/>
    <s v="High Profit"/>
  </r>
  <r>
    <n v="1061"/>
    <x v="131"/>
    <x v="2"/>
    <x v="8"/>
    <s v="Headphones"/>
    <s v="Accessories"/>
    <x v="0"/>
    <n v="7"/>
    <n v="2867"/>
    <n v="20069"/>
    <n v="16055"/>
    <n v="4014"/>
    <s v="High Profit"/>
  </r>
  <r>
    <n v="1071"/>
    <x v="132"/>
    <x v="1"/>
    <x v="7"/>
    <s v="Monitor"/>
    <s v="Electronics"/>
    <x v="2"/>
    <n v="7"/>
    <n v="11962"/>
    <n v="83734"/>
    <n v="66987"/>
    <n v="16747"/>
    <s v="High Profit"/>
  </r>
  <r>
    <n v="1062"/>
    <x v="133"/>
    <x v="3"/>
    <x v="4"/>
    <s v="Monitor"/>
    <s v="Electronics"/>
    <x v="2"/>
    <n v="7"/>
    <n v="11994"/>
    <n v="83958"/>
    <n v="67166"/>
    <n v="16792"/>
    <s v="High Profit"/>
  </r>
  <r>
    <n v="1158"/>
    <x v="134"/>
    <x v="1"/>
    <x v="1"/>
    <s v="Printer"/>
    <s v="Electronics"/>
    <x v="2"/>
    <n v="7"/>
    <n v="15032"/>
    <n v="105224"/>
    <n v="84179"/>
    <n v="21045"/>
    <s v="High Profit"/>
  </r>
  <r>
    <n v="1055"/>
    <x v="135"/>
    <x v="1"/>
    <x v="8"/>
    <s v="Tablet"/>
    <s v="Electronics"/>
    <x v="2"/>
    <n v="7"/>
    <n v="24944"/>
    <n v="174608"/>
    <n v="139686"/>
    <n v="34922"/>
    <s v="High Profit"/>
  </r>
  <r>
    <n v="1069"/>
    <x v="136"/>
    <x v="1"/>
    <x v="8"/>
    <s v="Tablet"/>
    <s v="Electronics"/>
    <x v="2"/>
    <n v="7"/>
    <n v="25184"/>
    <n v="176288"/>
    <n v="141030"/>
    <n v="35258"/>
    <s v="High Profit"/>
  </r>
  <r>
    <n v="1037"/>
    <x v="137"/>
    <x v="2"/>
    <x v="7"/>
    <s v="Laptop"/>
    <s v="Electronics"/>
    <x v="2"/>
    <n v="7"/>
    <n v="49804"/>
    <n v="348628"/>
    <n v="278902"/>
    <n v="69726"/>
    <s v="High Profit"/>
  </r>
  <r>
    <n v="1124"/>
    <x v="138"/>
    <x v="1"/>
    <x v="11"/>
    <s v="Mouse"/>
    <s v="Accessories"/>
    <x v="0"/>
    <n v="8"/>
    <n v="626"/>
    <n v="5008"/>
    <n v="4006"/>
    <n v="1002"/>
    <s v="High Profit"/>
  </r>
  <r>
    <n v="1054"/>
    <x v="139"/>
    <x v="0"/>
    <x v="4"/>
    <s v="Mouse"/>
    <s v="Accessories"/>
    <x v="0"/>
    <n v="8"/>
    <n v="658"/>
    <n v="5264"/>
    <n v="4211"/>
    <n v="1053"/>
    <s v="High Profit"/>
  </r>
  <r>
    <n v="1084"/>
    <x v="140"/>
    <x v="2"/>
    <x v="2"/>
    <s v="Mouse"/>
    <s v="Accessories"/>
    <x v="0"/>
    <n v="8"/>
    <n v="701"/>
    <n v="5608"/>
    <n v="4486"/>
    <n v="1122"/>
    <s v="High Profit"/>
  </r>
  <r>
    <n v="1190"/>
    <x v="141"/>
    <x v="2"/>
    <x v="4"/>
    <s v="Keyboard"/>
    <s v="        Accessories"/>
    <x v="0"/>
    <n v="8"/>
    <n v="1057"/>
    <n v="8456"/>
    <n v="6764"/>
    <n v="1692"/>
    <s v="High Profit"/>
  </r>
  <r>
    <n v="1185"/>
    <x v="142"/>
    <x v="0"/>
    <x v="2"/>
    <s v="Keyboard"/>
    <s v="        Accessories"/>
    <x v="0"/>
    <n v="8"/>
    <n v="1113"/>
    <n v="8904"/>
    <n v="7123"/>
    <n v="1781"/>
    <s v="High Profit"/>
  </r>
  <r>
    <n v="1136"/>
    <x v="143"/>
    <x v="2"/>
    <x v="1"/>
    <s v="Keyboard"/>
    <s v="        Accessories"/>
    <x v="0"/>
    <n v="8"/>
    <n v="1133"/>
    <n v="9064"/>
    <n v="7251"/>
    <n v="1813"/>
    <s v="High Profit"/>
  </r>
  <r>
    <n v="1002"/>
    <x v="144"/>
    <x v="0"/>
    <x v="2"/>
    <s v="Keyboard"/>
    <s v="        Accessories"/>
    <x v="0"/>
    <n v="8"/>
    <n v="1179"/>
    <n v="9432"/>
    <n v="7545"/>
    <n v="1887"/>
    <s v="High Profit"/>
  </r>
  <r>
    <n v="1161"/>
    <x v="145"/>
    <x v="1"/>
    <x v="4"/>
    <s v="Keyboard"/>
    <s v="        Accessories"/>
    <x v="0"/>
    <n v="8"/>
    <n v="1271"/>
    <n v="10168"/>
    <n v="8134"/>
    <n v="2034"/>
    <s v="High Profit"/>
  </r>
  <r>
    <n v="1113"/>
    <x v="146"/>
    <x v="0"/>
    <x v="2"/>
    <s v="Headphones"/>
    <s v="Accessories"/>
    <x v="0"/>
    <n v="8"/>
    <n v="2883"/>
    <n v="23064"/>
    <n v="18451"/>
    <n v="4613"/>
    <s v="High Profit"/>
  </r>
  <r>
    <n v="1177"/>
    <x v="147"/>
    <x v="0"/>
    <x v="7"/>
    <s v="Headphones"/>
    <s v="Accessories"/>
    <x v="0"/>
    <n v="8"/>
    <n v="2926"/>
    <n v="23408"/>
    <n v="18726"/>
    <n v="4682"/>
    <s v="High Profit"/>
  </r>
  <r>
    <n v="1168"/>
    <x v="148"/>
    <x v="3"/>
    <x v="11"/>
    <s v="Headphones"/>
    <s v="Accessories"/>
    <x v="0"/>
    <n v="8"/>
    <n v="3071"/>
    <n v="24568"/>
    <n v="19654"/>
    <n v="4914"/>
    <s v="High Profit"/>
  </r>
  <r>
    <n v="1195"/>
    <x v="149"/>
    <x v="0"/>
    <x v="8"/>
    <s v="Headphones"/>
    <s v="Accessories"/>
    <x v="0"/>
    <n v="8"/>
    <n v="3071"/>
    <n v="24568"/>
    <n v="19654"/>
    <n v="4914"/>
    <s v="High Profit"/>
  </r>
  <r>
    <n v="1145"/>
    <x v="150"/>
    <x v="0"/>
    <x v="11"/>
    <s v="Monitor"/>
    <s v="Electronics"/>
    <x v="2"/>
    <n v="8"/>
    <n v="11888"/>
    <n v="95104"/>
    <n v="76083"/>
    <n v="19021"/>
    <s v="High Profit"/>
  </r>
  <r>
    <n v="1114"/>
    <x v="151"/>
    <x v="0"/>
    <x v="7"/>
    <s v="Monitor"/>
    <s v="Electronics"/>
    <x v="2"/>
    <n v="8"/>
    <n v="12132"/>
    <n v="97056"/>
    <n v="77644"/>
    <n v="19412"/>
    <s v="High Profit"/>
  </r>
  <r>
    <n v="1198"/>
    <x v="152"/>
    <x v="3"/>
    <x v="2"/>
    <s v="Printer"/>
    <s v="Electronics"/>
    <x v="2"/>
    <n v="8"/>
    <n v="14819"/>
    <n v="118552"/>
    <n v="94841"/>
    <n v="23711"/>
    <s v="High Profit"/>
  </r>
  <r>
    <n v="1044"/>
    <x v="153"/>
    <x v="0"/>
    <x v="11"/>
    <s v="Printer"/>
    <s v="Electronics"/>
    <x v="2"/>
    <n v="8"/>
    <n v="14924"/>
    <n v="119392"/>
    <n v="95513"/>
    <n v="23879"/>
    <s v="High Profit"/>
  </r>
  <r>
    <n v="1105"/>
    <x v="154"/>
    <x v="0"/>
    <x v="1"/>
    <s v="Printer"/>
    <s v="Electronics"/>
    <x v="2"/>
    <n v="8"/>
    <n v="14976"/>
    <n v="119808"/>
    <n v="95846"/>
    <n v="23962"/>
    <s v="High Profit"/>
  </r>
  <r>
    <n v="1181"/>
    <x v="155"/>
    <x v="1"/>
    <x v="2"/>
    <s v="Printer"/>
    <s v="Electronics"/>
    <x v="2"/>
    <n v="8"/>
    <n v="15016"/>
    <n v="120128"/>
    <n v="96102"/>
    <n v="24026"/>
    <s v="High Profit"/>
  </r>
  <r>
    <n v="1032"/>
    <x v="156"/>
    <x v="2"/>
    <x v="1"/>
    <s v="Printer"/>
    <s v="Electronics"/>
    <x v="2"/>
    <n v="8"/>
    <n v="15176"/>
    <n v="121408"/>
    <n v="97126"/>
    <n v="24282"/>
    <s v="High Profit"/>
  </r>
  <r>
    <n v="1059"/>
    <x v="157"/>
    <x v="0"/>
    <x v="4"/>
    <s v="Tablet"/>
    <s v="Electronics"/>
    <x v="2"/>
    <n v="8"/>
    <n v="24863"/>
    <n v="198904"/>
    <n v="159123"/>
    <n v="39781"/>
    <s v="High Profit"/>
  </r>
  <r>
    <n v="1070"/>
    <x v="158"/>
    <x v="2"/>
    <x v="2"/>
    <s v="Tablet"/>
    <s v="Electronics"/>
    <x v="2"/>
    <n v="8"/>
    <n v="24898"/>
    <n v="199184"/>
    <n v="159347"/>
    <n v="39837"/>
    <s v="High Profit"/>
  </r>
  <r>
    <n v="1148"/>
    <x v="159"/>
    <x v="0"/>
    <x v="11"/>
    <s v="Tablet"/>
    <s v="Electronics"/>
    <x v="2"/>
    <n v="8"/>
    <n v="24935"/>
    <n v="199480"/>
    <n v="159584"/>
    <n v="39896"/>
    <s v="High Profit"/>
  </r>
  <r>
    <n v="1102"/>
    <x v="160"/>
    <x v="2"/>
    <x v="8"/>
    <s v="Tablet"/>
    <s v="Electronics"/>
    <x v="2"/>
    <n v="8"/>
    <n v="25051"/>
    <n v="200408"/>
    <n v="160326"/>
    <n v="40082"/>
    <s v="High Profit"/>
  </r>
  <r>
    <n v="1003"/>
    <x v="161"/>
    <x v="0"/>
    <x v="7"/>
    <s v="Laptop"/>
    <s v="Electronics"/>
    <x v="2"/>
    <n v="8"/>
    <n v="50061"/>
    <n v="400488"/>
    <n v="320390"/>
    <n v="80098"/>
    <s v="High Profit"/>
  </r>
  <r>
    <n v="1160"/>
    <x v="162"/>
    <x v="0"/>
    <x v="4"/>
    <s v="Laptop"/>
    <s v="Electronics"/>
    <x v="2"/>
    <n v="8"/>
    <n v="50199"/>
    <n v="401592"/>
    <n v="321273"/>
    <n v="80319"/>
    <s v="High Profit"/>
  </r>
  <r>
    <n v="1197"/>
    <x v="163"/>
    <x v="1"/>
    <x v="8"/>
    <s v="Mouse"/>
    <s v="Accessories"/>
    <x v="0"/>
    <n v="9"/>
    <n v="627"/>
    <n v="5643"/>
    <n v="4514"/>
    <n v="1129"/>
    <s v="High Profit"/>
  </r>
  <r>
    <n v="1112"/>
    <x v="164"/>
    <x v="3"/>
    <x v="11"/>
    <s v="Mouse"/>
    <s v="Accessories"/>
    <x v="0"/>
    <n v="9"/>
    <n v="637"/>
    <n v="5733"/>
    <n v="4586"/>
    <n v="1147"/>
    <s v="High Profit"/>
  </r>
  <r>
    <n v="1021"/>
    <x v="165"/>
    <x v="2"/>
    <x v="1"/>
    <s v="Mouse"/>
    <s v="Accessories"/>
    <x v="0"/>
    <n v="9"/>
    <n v="675"/>
    <n v="6075"/>
    <n v="4860"/>
    <n v="1215"/>
    <s v="High Profit"/>
  </r>
  <r>
    <n v="1146"/>
    <x v="166"/>
    <x v="1"/>
    <x v="4"/>
    <s v="Mouse"/>
    <s v="Accessories"/>
    <x v="0"/>
    <n v="9"/>
    <n v="849"/>
    <n v="7641"/>
    <n v="6112"/>
    <n v="1529"/>
    <s v="High Profit"/>
  </r>
  <r>
    <n v="1045"/>
    <x v="167"/>
    <x v="0"/>
    <x v="8"/>
    <s v="Headphones"/>
    <s v="Accessories"/>
    <x v="0"/>
    <n v="9"/>
    <n v="3077"/>
    <n v="27693"/>
    <n v="22154"/>
    <n v="5539"/>
    <s v="High Profit"/>
  </r>
  <r>
    <n v="1131"/>
    <x v="168"/>
    <x v="0"/>
    <x v="11"/>
    <s v="Headphones"/>
    <s v="Accessories"/>
    <x v="0"/>
    <n v="9"/>
    <n v="3103"/>
    <n v="27927"/>
    <n v="22341"/>
    <n v="5586"/>
    <s v="High Profit"/>
  </r>
  <r>
    <n v="1179"/>
    <x v="169"/>
    <x v="2"/>
    <x v="11"/>
    <s v="Monitor"/>
    <s v="Electronics"/>
    <x v="2"/>
    <n v="9"/>
    <n v="12028"/>
    <n v="108252"/>
    <n v="86601"/>
    <n v="21651"/>
    <s v="High Profit"/>
  </r>
  <r>
    <n v="1012"/>
    <x v="170"/>
    <x v="0"/>
    <x v="2"/>
    <s v="Monitor"/>
    <s v="Electronics"/>
    <x v="2"/>
    <n v="9"/>
    <n v="12198"/>
    <n v="109782"/>
    <n v="87825"/>
    <n v="21957"/>
    <s v="High Profit"/>
  </r>
  <r>
    <n v="1178"/>
    <x v="171"/>
    <x v="1"/>
    <x v="1"/>
    <s v="Printer"/>
    <s v="Electronics"/>
    <x v="2"/>
    <n v="9"/>
    <n v="14998"/>
    <n v="134982"/>
    <n v="107985"/>
    <n v="26997"/>
    <s v="High Profit"/>
  </r>
  <r>
    <n v="1051"/>
    <x v="172"/>
    <x v="1"/>
    <x v="4"/>
    <s v="Tablet"/>
    <s v="Electronics"/>
    <x v="2"/>
    <n v="9"/>
    <n v="24945"/>
    <n v="224505"/>
    <n v="179604"/>
    <n v="44901"/>
    <s v="High Profit"/>
  </r>
  <r>
    <n v="1029"/>
    <x v="173"/>
    <x v="2"/>
    <x v="11"/>
    <s v="Laptop"/>
    <s v="Electronics"/>
    <x v="2"/>
    <n v="9"/>
    <n v="49865"/>
    <n v="448785"/>
    <n v="359028"/>
    <n v="89757"/>
    <s v="High Profit"/>
  </r>
  <r>
    <n v="1152"/>
    <x v="174"/>
    <x v="1"/>
    <x v="7"/>
    <s v="Laptop"/>
    <s v="Electronics"/>
    <x v="2"/>
    <n v="9"/>
    <n v="50009"/>
    <n v="450081"/>
    <n v="360064"/>
    <n v="90017"/>
    <s v="High Profit"/>
  </r>
  <r>
    <n v="1156"/>
    <x v="175"/>
    <x v="0"/>
    <x v="2"/>
    <s v="Mouse"/>
    <s v="Accessories"/>
    <x v="0"/>
    <n v="10"/>
    <n v="632"/>
    <n v="6320"/>
    <n v="5056"/>
    <n v="1264"/>
    <s v="High Profit"/>
  </r>
  <r>
    <n v="1188"/>
    <x v="176"/>
    <x v="3"/>
    <x v="11"/>
    <s v="Mouse"/>
    <s v="Accessories"/>
    <x v="0"/>
    <n v="10"/>
    <n v="654"/>
    <n v="6540"/>
    <n v="5232"/>
    <n v="1308"/>
    <s v="High Profit"/>
  </r>
  <r>
    <n v="1039"/>
    <x v="177"/>
    <x v="3"/>
    <x v="2"/>
    <s v="Mouse"/>
    <s v="Accessories"/>
    <x v="0"/>
    <n v="10"/>
    <n v="672"/>
    <n v="6720"/>
    <n v="5376"/>
    <n v="1344"/>
    <s v="High Profit"/>
  </r>
  <r>
    <n v="1030"/>
    <x v="178"/>
    <x v="3"/>
    <x v="8"/>
    <s v="Mouse"/>
    <s v="Accessories"/>
    <x v="0"/>
    <n v="10"/>
    <n v="682"/>
    <n v="6820"/>
    <n v="5456"/>
    <n v="1364"/>
    <s v="High Profit"/>
  </r>
  <r>
    <n v="1092"/>
    <x v="179"/>
    <x v="1"/>
    <x v="2"/>
    <s v="Mouse"/>
    <s v="Accessories"/>
    <x v="0"/>
    <n v="10"/>
    <n v="819"/>
    <n v="8190"/>
    <n v="6552"/>
    <n v="1638"/>
    <s v="High Profit"/>
  </r>
  <r>
    <n v="1008"/>
    <x v="180"/>
    <x v="3"/>
    <x v="1"/>
    <s v="Mouse"/>
    <s v="Accessories"/>
    <x v="0"/>
    <n v="10"/>
    <n v="991"/>
    <n v="9910"/>
    <n v="7928"/>
    <n v="1982"/>
    <s v="High Profit"/>
  </r>
  <r>
    <n v="1093"/>
    <x v="181"/>
    <x v="0"/>
    <x v="4"/>
    <s v="Keyboard"/>
    <s v="        Accessories"/>
    <x v="0"/>
    <n v="10"/>
    <n v="1089"/>
    <n v="10890"/>
    <n v="8712"/>
    <n v="2178"/>
    <s v="High Profit"/>
  </r>
  <r>
    <n v="1155"/>
    <x v="182"/>
    <x v="3"/>
    <x v="11"/>
    <s v="Keyboard"/>
    <s v="        Accessories"/>
    <x v="0"/>
    <n v="10"/>
    <n v="1149"/>
    <n v="11490"/>
    <n v="9192"/>
    <n v="2298"/>
    <s v="High Profit"/>
  </r>
  <r>
    <n v="1196"/>
    <x v="183"/>
    <x v="0"/>
    <x v="1"/>
    <s v="Keyboard"/>
    <s v="        Accessories"/>
    <x v="0"/>
    <n v="10"/>
    <n v="1222"/>
    <n v="12220"/>
    <n v="9776"/>
    <n v="2444"/>
    <s v="High Profit"/>
  </r>
  <r>
    <n v="1162"/>
    <x v="184"/>
    <x v="1"/>
    <x v="1"/>
    <s v="Keyboard"/>
    <s v="        Accessories"/>
    <x v="0"/>
    <n v="10"/>
    <n v="1375"/>
    <n v="13750"/>
    <n v="11000"/>
    <n v="2750"/>
    <s v="High Profit"/>
  </r>
  <r>
    <n v="1096"/>
    <x v="185"/>
    <x v="3"/>
    <x v="1"/>
    <s v="Headphones"/>
    <s v="Accessories"/>
    <x v="0"/>
    <n v="10"/>
    <n v="2848"/>
    <n v="28480"/>
    <n v="22784"/>
    <n v="5696"/>
    <s v="High Profit"/>
  </r>
  <r>
    <n v="1038"/>
    <x v="186"/>
    <x v="2"/>
    <x v="2"/>
    <s v="Headphones"/>
    <s v="Accessories"/>
    <x v="0"/>
    <n v="10"/>
    <n v="2875"/>
    <n v="28750"/>
    <n v="23000"/>
    <n v="5750"/>
    <s v="High Profit"/>
  </r>
  <r>
    <n v="1106"/>
    <x v="187"/>
    <x v="2"/>
    <x v="2"/>
    <s v="Headphones"/>
    <s v="Accessories"/>
    <x v="0"/>
    <n v="10"/>
    <n v="2885"/>
    <n v="28850"/>
    <n v="23080"/>
    <n v="5770"/>
    <s v="High Profit"/>
  </r>
  <r>
    <n v="1157"/>
    <x v="188"/>
    <x v="0"/>
    <x v="11"/>
    <s v="Headphones"/>
    <s v="Accessories"/>
    <x v="0"/>
    <n v="10"/>
    <n v="2903"/>
    <n v="29030"/>
    <n v="23224"/>
    <n v="5806"/>
    <s v="High Profit"/>
  </r>
  <r>
    <n v="1174"/>
    <x v="189"/>
    <x v="2"/>
    <x v="1"/>
    <s v="Headphones"/>
    <s v="Accessories"/>
    <x v="0"/>
    <n v="10"/>
    <n v="3089"/>
    <n v="30890"/>
    <n v="24712"/>
    <n v="6178"/>
    <s v="High Profit"/>
  </r>
  <r>
    <n v="1076"/>
    <x v="190"/>
    <x v="2"/>
    <x v="11"/>
    <s v="Monitor"/>
    <s v="Electronics"/>
    <x v="2"/>
    <n v="10"/>
    <n v="12074"/>
    <n v="120740"/>
    <n v="96592"/>
    <n v="24148"/>
    <s v="High Profit"/>
  </r>
  <r>
    <n v="1017"/>
    <x v="191"/>
    <x v="1"/>
    <x v="8"/>
    <s v="Printer"/>
    <s v="Electronics"/>
    <x v="2"/>
    <n v="10"/>
    <n v="15129"/>
    <n v="151290"/>
    <n v="121032"/>
    <n v="30258"/>
    <s v="High Profit"/>
  </r>
  <r>
    <n v="1109"/>
    <x v="192"/>
    <x v="2"/>
    <x v="1"/>
    <s v="Tablet"/>
    <s v="Electronics"/>
    <x v="2"/>
    <n v="10"/>
    <n v="24828"/>
    <n v="248280"/>
    <n v="198624"/>
    <n v="49656"/>
    <s v="High Profit"/>
  </r>
  <r>
    <n v="1073"/>
    <x v="193"/>
    <x v="1"/>
    <x v="1"/>
    <s v="Tablet"/>
    <s v="Electronics"/>
    <x v="2"/>
    <n v="10"/>
    <n v="24831"/>
    <n v="248310"/>
    <n v="198648"/>
    <n v="49662"/>
    <s v="High Profit"/>
  </r>
  <r>
    <n v="1133"/>
    <x v="194"/>
    <x v="2"/>
    <x v="11"/>
    <s v="Laptop"/>
    <s v="Electronics"/>
    <x v="2"/>
    <n v="10"/>
    <n v="49936"/>
    <n v="499360"/>
    <n v="399488"/>
    <n v="99872"/>
    <s v="High Profit"/>
  </r>
  <r>
    <n v="1087"/>
    <x v="195"/>
    <x v="3"/>
    <x v="2"/>
    <s v="Laptop"/>
    <s v="Electronics"/>
    <x v="2"/>
    <n v="10"/>
    <n v="49973"/>
    <n v="499730"/>
    <n v="399784"/>
    <n v="99946"/>
    <s v="High Profit"/>
  </r>
  <r>
    <n v="1183"/>
    <x v="196"/>
    <x v="3"/>
    <x v="2"/>
    <s v="Laptop"/>
    <s v="Electronics"/>
    <x v="2"/>
    <n v="10"/>
    <n v="49986"/>
    <n v="499860"/>
    <n v="399888"/>
    <n v="99972"/>
    <s v="High Profit"/>
  </r>
  <r>
    <n v="1173"/>
    <x v="197"/>
    <x v="1"/>
    <x v="11"/>
    <s v="Laptop"/>
    <s v="Electronics"/>
    <x v="2"/>
    <n v="10"/>
    <n v="50041"/>
    <n v="500410"/>
    <n v="400328"/>
    <n v="100082"/>
    <s v="High Profit"/>
  </r>
  <r>
    <n v="1117"/>
    <x v="198"/>
    <x v="3"/>
    <x v="7"/>
    <s v="Laptop"/>
    <s v="Electronics"/>
    <x v="2"/>
    <n v="10"/>
    <n v="50046"/>
    <n v="500460"/>
    <n v="400368"/>
    <n v="100092"/>
    <s v="High Profit"/>
  </r>
  <r>
    <n v="1072"/>
    <x v="199"/>
    <x v="2"/>
    <x v="11"/>
    <s v="Laptop"/>
    <s v="Electronics"/>
    <x v="2"/>
    <n v="10"/>
    <n v="50080"/>
    <n v="500800"/>
    <n v="400640"/>
    <n v="100160"/>
    <s v="High 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2C7B9-77C6-4838-B0F1-93F65C466B1B}"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2" firstHeaderRow="1" firstDataRow="1" firstDataCol="1"/>
  <pivotFields count="15">
    <pivotField showAll="0"/>
    <pivotField axis="axisRow" numFmtId="164" showAll="0">
      <items count="201">
        <item x="129"/>
        <item x="144"/>
        <item x="161"/>
        <item x="24"/>
        <item x="7"/>
        <item x="32"/>
        <item x="72"/>
        <item x="180"/>
        <item x="108"/>
        <item x="39"/>
        <item x="82"/>
        <item x="170"/>
        <item x="105"/>
        <item x="43"/>
        <item x="111"/>
        <item x="73"/>
        <item x="191"/>
        <item x="124"/>
        <item x="14"/>
        <item x="54"/>
        <item x="165"/>
        <item x="85"/>
        <item x="115"/>
        <item x="79"/>
        <item x="116"/>
        <item x="87"/>
        <item x="86"/>
        <item x="83"/>
        <item x="173"/>
        <item x="178"/>
        <item x="117"/>
        <item x="156"/>
        <item x="60"/>
        <item x="22"/>
        <item x="104"/>
        <item x="30"/>
        <item x="137"/>
        <item x="186"/>
        <item x="177"/>
        <item x="76"/>
        <item x="74"/>
        <item x="130"/>
        <item x="36"/>
        <item x="153"/>
        <item x="167"/>
        <item x="123"/>
        <item x="98"/>
        <item x="70"/>
        <item x="16"/>
        <item x="40"/>
        <item x="172"/>
        <item x="21"/>
        <item x="28"/>
        <item x="139"/>
        <item x="135"/>
        <item x="99"/>
        <item x="92"/>
        <item x="29"/>
        <item x="157"/>
        <item x="44"/>
        <item x="131"/>
        <item x="133"/>
        <item x="89"/>
        <item x="47"/>
        <item x="46"/>
        <item x="67"/>
        <item x="4"/>
        <item x="58"/>
        <item x="136"/>
        <item x="158"/>
        <item x="132"/>
        <item x="199"/>
        <item x="193"/>
        <item x="8"/>
        <item x="0"/>
        <item x="190"/>
        <item x="38"/>
        <item x="19"/>
        <item x="119"/>
        <item x="26"/>
        <item x="121"/>
        <item x="23"/>
        <item x="52"/>
        <item x="140"/>
        <item x="128"/>
        <item x="18"/>
        <item x="195"/>
        <item x="15"/>
        <item x="6"/>
        <item x="96"/>
        <item x="35"/>
        <item x="179"/>
        <item x="181"/>
        <item x="118"/>
        <item x="100"/>
        <item x="185"/>
        <item x="93"/>
        <item x="64"/>
        <item x="2"/>
        <item x="66"/>
        <item x="65"/>
        <item x="160"/>
        <item x="51"/>
        <item x="78"/>
        <item x="154"/>
        <item x="187"/>
        <item x="45"/>
        <item x="125"/>
        <item x="192"/>
        <item x="88"/>
        <item x="48"/>
        <item x="164"/>
        <item x="146"/>
        <item x="151"/>
        <item x="126"/>
        <item x="107"/>
        <item x="198"/>
        <item x="3"/>
        <item x="127"/>
        <item x="113"/>
        <item x="122"/>
        <item x="61"/>
        <item x="31"/>
        <item x="138"/>
        <item x="95"/>
        <item x="25"/>
        <item x="57"/>
        <item x="62"/>
        <item x="27"/>
        <item x="110"/>
        <item x="168"/>
        <item x="106"/>
        <item x="194"/>
        <item x="84"/>
        <item x="17"/>
        <item x="143"/>
        <item x="9"/>
        <item x="10"/>
        <item x="69"/>
        <item x="97"/>
        <item x="56"/>
        <item x="90"/>
        <item x="53"/>
        <item x="5"/>
        <item x="150"/>
        <item x="166"/>
        <item x="112"/>
        <item x="159"/>
        <item x="1"/>
        <item x="63"/>
        <item x="80"/>
        <item x="174"/>
        <item x="49"/>
        <item x="91"/>
        <item x="182"/>
        <item x="175"/>
        <item x="188"/>
        <item x="134"/>
        <item x="120"/>
        <item x="162"/>
        <item x="145"/>
        <item x="184"/>
        <item x="75"/>
        <item x="42"/>
        <item x="33"/>
        <item x="77"/>
        <item x="50"/>
        <item x="148"/>
        <item x="94"/>
        <item x="68"/>
        <item x="20"/>
        <item x="55"/>
        <item x="197"/>
        <item x="189"/>
        <item x="37"/>
        <item x="114"/>
        <item x="147"/>
        <item x="171"/>
        <item x="169"/>
        <item x="59"/>
        <item x="155"/>
        <item x="71"/>
        <item x="196"/>
        <item x="81"/>
        <item x="142"/>
        <item x="41"/>
        <item x="13"/>
        <item x="176"/>
        <item x="109"/>
        <item x="141"/>
        <item x="102"/>
        <item x="103"/>
        <item x="11"/>
        <item x="12"/>
        <item x="149"/>
        <item x="183"/>
        <item x="163"/>
        <item x="152"/>
        <item x="34"/>
        <item x="101"/>
        <item t="default"/>
      </items>
    </pivotField>
    <pivotField showAll="0">
      <items count="5">
        <item x="0"/>
        <item h="1" x="2"/>
        <item h="1" x="1"/>
        <item h="1" x="3"/>
        <item t="default"/>
      </items>
    </pivotField>
    <pivotField showAll="0">
      <items count="13">
        <item h="1" x="9"/>
        <item h="1" x="5"/>
        <item h="1" x="3"/>
        <item h="1" x="6"/>
        <item x="10"/>
        <item h="1" x="0"/>
        <item h="1" x="4"/>
        <item h="1" x="1"/>
        <item h="1" x="8"/>
        <item h="1" x="2"/>
        <item h="1" x="11"/>
        <item h="1" x="7"/>
        <item t="default"/>
      </items>
    </pivotField>
    <pivotField showAll="0"/>
    <pivotField showAll="0"/>
    <pivotField showAll="0">
      <items count="5">
        <item x="3"/>
        <item h="1" x="1"/>
        <item h="1" x="0"/>
        <item h="1" x="2"/>
        <item t="default"/>
      </items>
    </pivotField>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BBB97-4D31-4CE5-B872-D2D91F79D4CD}"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3" firstHeaderRow="1" firstDataRow="1" firstDataCol="1"/>
  <pivotFields count="15">
    <pivotField showAll="0"/>
    <pivotField numFmtId="164" showAll="0">
      <items count="201">
        <item x="129"/>
        <item x="144"/>
        <item x="161"/>
        <item x="24"/>
        <item x="7"/>
        <item x="32"/>
        <item x="72"/>
        <item x="180"/>
        <item x="108"/>
        <item x="39"/>
        <item x="82"/>
        <item x="170"/>
        <item x="105"/>
        <item x="43"/>
        <item x="111"/>
        <item x="73"/>
        <item x="191"/>
        <item x="124"/>
        <item x="14"/>
        <item x="54"/>
        <item x="165"/>
        <item x="85"/>
        <item x="115"/>
        <item x="79"/>
        <item x="116"/>
        <item x="87"/>
        <item x="86"/>
        <item x="83"/>
        <item x="173"/>
        <item x="178"/>
        <item x="117"/>
        <item x="156"/>
        <item x="60"/>
        <item x="22"/>
        <item x="104"/>
        <item x="30"/>
        <item x="137"/>
        <item x="186"/>
        <item x="177"/>
        <item x="76"/>
        <item x="74"/>
        <item x="130"/>
        <item x="36"/>
        <item x="153"/>
        <item x="167"/>
        <item x="123"/>
        <item x="98"/>
        <item x="70"/>
        <item x="16"/>
        <item x="40"/>
        <item x="172"/>
        <item x="21"/>
        <item x="28"/>
        <item x="139"/>
        <item x="135"/>
        <item x="99"/>
        <item x="92"/>
        <item x="29"/>
        <item x="157"/>
        <item x="44"/>
        <item x="131"/>
        <item x="133"/>
        <item x="89"/>
        <item x="47"/>
        <item x="46"/>
        <item x="67"/>
        <item x="4"/>
        <item x="58"/>
        <item x="136"/>
        <item x="158"/>
        <item x="132"/>
        <item x="199"/>
        <item x="193"/>
        <item x="8"/>
        <item x="0"/>
        <item x="190"/>
        <item x="38"/>
        <item x="19"/>
        <item x="119"/>
        <item x="26"/>
        <item x="121"/>
        <item x="23"/>
        <item x="52"/>
        <item x="140"/>
        <item x="128"/>
        <item x="18"/>
        <item x="195"/>
        <item x="15"/>
        <item x="6"/>
        <item x="96"/>
        <item x="35"/>
        <item x="179"/>
        <item x="181"/>
        <item x="118"/>
        <item x="100"/>
        <item x="185"/>
        <item x="93"/>
        <item x="64"/>
        <item x="2"/>
        <item x="66"/>
        <item x="65"/>
        <item x="160"/>
        <item x="51"/>
        <item x="78"/>
        <item x="154"/>
        <item x="187"/>
        <item x="45"/>
        <item x="125"/>
        <item x="192"/>
        <item x="88"/>
        <item x="48"/>
        <item x="164"/>
        <item x="146"/>
        <item x="151"/>
        <item x="126"/>
        <item x="107"/>
        <item x="198"/>
        <item x="3"/>
        <item x="127"/>
        <item x="113"/>
        <item x="122"/>
        <item x="61"/>
        <item x="31"/>
        <item x="138"/>
        <item x="95"/>
        <item x="25"/>
        <item x="57"/>
        <item x="62"/>
        <item x="27"/>
        <item x="110"/>
        <item x="168"/>
        <item x="106"/>
        <item x="194"/>
        <item x="84"/>
        <item x="17"/>
        <item x="143"/>
        <item x="9"/>
        <item x="10"/>
        <item x="69"/>
        <item x="97"/>
        <item x="56"/>
        <item x="90"/>
        <item x="53"/>
        <item x="5"/>
        <item x="150"/>
        <item x="166"/>
        <item x="112"/>
        <item x="159"/>
        <item x="1"/>
        <item x="63"/>
        <item x="80"/>
        <item x="174"/>
        <item x="49"/>
        <item x="91"/>
        <item x="182"/>
        <item x="175"/>
        <item x="188"/>
        <item x="134"/>
        <item x="120"/>
        <item x="162"/>
        <item x="145"/>
        <item x="184"/>
        <item x="75"/>
        <item x="42"/>
        <item x="33"/>
        <item x="77"/>
        <item x="50"/>
        <item x="148"/>
        <item x="94"/>
        <item x="68"/>
        <item x="20"/>
        <item x="55"/>
        <item x="197"/>
        <item x="189"/>
        <item x="37"/>
        <item x="114"/>
        <item x="147"/>
        <item x="171"/>
        <item x="169"/>
        <item x="59"/>
        <item x="155"/>
        <item x="71"/>
        <item x="196"/>
        <item x="81"/>
        <item x="142"/>
        <item x="41"/>
        <item x="13"/>
        <item x="176"/>
        <item x="109"/>
        <item x="141"/>
        <item x="102"/>
        <item x="103"/>
        <item x="11"/>
        <item x="12"/>
        <item x="149"/>
        <item x="183"/>
        <item x="163"/>
        <item x="152"/>
        <item x="34"/>
        <item x="101"/>
        <item t="default"/>
      </items>
    </pivotField>
    <pivotField showAll="0">
      <items count="5">
        <item x="0"/>
        <item h="1" x="2"/>
        <item h="1" x="1"/>
        <item h="1" x="3"/>
        <item t="default"/>
      </items>
    </pivotField>
    <pivotField axis="axisRow" showAll="0">
      <items count="13">
        <item x="9"/>
        <item x="5"/>
        <item x="3"/>
        <item x="6"/>
        <item x="10"/>
        <item x="0"/>
        <item x="4"/>
        <item x="1"/>
        <item x="8"/>
        <item x="2"/>
        <item x="11"/>
        <item x="7"/>
        <item t="default"/>
      </items>
    </pivotField>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v="5"/>
    </i>
    <i>
      <x v="6"/>
    </i>
    <i>
      <x v="7"/>
    </i>
    <i>
      <x v="8"/>
    </i>
    <i>
      <x v="9"/>
    </i>
    <i>
      <x v="10"/>
    </i>
    <i>
      <x v="1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3684EB-A284-46BB-B491-CD7DFDB4DD4F}"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18" firstHeaderRow="1" firstDataRow="1" firstDataCol="1"/>
  <pivotFields count="15">
    <pivotField showAll="0"/>
    <pivotField numFmtId="164" showAll="0">
      <items count="201">
        <item x="129"/>
        <item x="144"/>
        <item x="161"/>
        <item x="24"/>
        <item x="7"/>
        <item x="32"/>
        <item x="72"/>
        <item x="180"/>
        <item x="108"/>
        <item x="39"/>
        <item x="82"/>
        <item x="170"/>
        <item x="105"/>
        <item x="43"/>
        <item x="111"/>
        <item x="73"/>
        <item x="191"/>
        <item x="124"/>
        <item x="14"/>
        <item x="54"/>
        <item x="165"/>
        <item x="85"/>
        <item x="115"/>
        <item x="79"/>
        <item x="116"/>
        <item x="87"/>
        <item x="86"/>
        <item x="83"/>
        <item x="173"/>
        <item x="178"/>
        <item x="117"/>
        <item x="156"/>
        <item x="60"/>
        <item x="22"/>
        <item x="104"/>
        <item x="30"/>
        <item x="137"/>
        <item x="186"/>
        <item x="177"/>
        <item x="76"/>
        <item x="74"/>
        <item x="130"/>
        <item x="36"/>
        <item x="153"/>
        <item x="167"/>
        <item x="123"/>
        <item x="98"/>
        <item x="70"/>
        <item x="16"/>
        <item x="40"/>
        <item x="172"/>
        <item x="21"/>
        <item x="28"/>
        <item x="139"/>
        <item x="135"/>
        <item x="99"/>
        <item x="92"/>
        <item x="29"/>
        <item x="157"/>
        <item x="44"/>
        <item x="131"/>
        <item x="133"/>
        <item x="89"/>
        <item x="47"/>
        <item x="46"/>
        <item x="67"/>
        <item x="4"/>
        <item x="58"/>
        <item x="136"/>
        <item x="158"/>
        <item x="132"/>
        <item x="199"/>
        <item x="193"/>
        <item x="8"/>
        <item x="0"/>
        <item x="190"/>
        <item x="38"/>
        <item x="19"/>
        <item x="119"/>
        <item x="26"/>
        <item x="121"/>
        <item x="23"/>
        <item x="52"/>
        <item x="140"/>
        <item x="128"/>
        <item x="18"/>
        <item x="195"/>
        <item x="15"/>
        <item x="6"/>
        <item x="96"/>
        <item x="35"/>
        <item x="179"/>
        <item x="181"/>
        <item x="118"/>
        <item x="100"/>
        <item x="185"/>
        <item x="93"/>
        <item x="64"/>
        <item x="2"/>
        <item x="66"/>
        <item x="65"/>
        <item x="160"/>
        <item x="51"/>
        <item x="78"/>
        <item x="154"/>
        <item x="187"/>
        <item x="45"/>
        <item x="125"/>
        <item x="192"/>
        <item x="88"/>
        <item x="48"/>
        <item x="164"/>
        <item x="146"/>
        <item x="151"/>
        <item x="126"/>
        <item x="107"/>
        <item x="198"/>
        <item x="3"/>
        <item x="127"/>
        <item x="113"/>
        <item x="122"/>
        <item x="61"/>
        <item x="31"/>
        <item x="138"/>
        <item x="95"/>
        <item x="25"/>
        <item x="57"/>
        <item x="62"/>
        <item x="27"/>
        <item x="110"/>
        <item x="168"/>
        <item x="106"/>
        <item x="194"/>
        <item x="84"/>
        <item x="17"/>
        <item x="143"/>
        <item x="9"/>
        <item x="10"/>
        <item x="69"/>
        <item x="97"/>
        <item x="56"/>
        <item x="90"/>
        <item x="53"/>
        <item x="5"/>
        <item x="150"/>
        <item x="166"/>
        <item x="112"/>
        <item x="159"/>
        <item x="1"/>
        <item x="63"/>
        <item x="80"/>
        <item x="174"/>
        <item x="49"/>
        <item x="91"/>
        <item x="182"/>
        <item x="175"/>
        <item x="188"/>
        <item x="134"/>
        <item x="120"/>
        <item x="162"/>
        <item x="145"/>
        <item x="184"/>
        <item x="75"/>
        <item x="42"/>
        <item x="33"/>
        <item x="77"/>
        <item x="50"/>
        <item x="148"/>
        <item x="94"/>
        <item x="68"/>
        <item x="20"/>
        <item x="55"/>
        <item x="197"/>
        <item x="189"/>
        <item x="37"/>
        <item x="114"/>
        <item x="147"/>
        <item x="171"/>
        <item x="169"/>
        <item x="59"/>
        <item x="155"/>
        <item x="71"/>
        <item x="196"/>
        <item x="81"/>
        <item x="142"/>
        <item x="41"/>
        <item x="13"/>
        <item x="176"/>
        <item x="109"/>
        <item x="141"/>
        <item x="102"/>
        <item x="103"/>
        <item x="11"/>
        <item x="12"/>
        <item x="149"/>
        <item x="183"/>
        <item x="163"/>
        <item x="152"/>
        <item x="34"/>
        <item x="101"/>
        <item t="default"/>
      </items>
    </pivotField>
    <pivotField showAll="0">
      <items count="5">
        <item x="0"/>
        <item h="1" x="2"/>
        <item h="1" x="1"/>
        <item h="1" x="3"/>
        <item t="default"/>
      </items>
    </pivotField>
    <pivotField showAll="0"/>
    <pivotField showAll="0"/>
    <pivotField showAll="0"/>
    <pivotField axis="axisRow" showAll="0">
      <items count="5">
        <item x="3"/>
        <item x="1"/>
        <item x="0"/>
        <item x="2"/>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22FF67-2953-40D3-8042-5C48B858F5C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5">
    <pivotField showAll="0"/>
    <pivotField numFmtId="164" showAll="0">
      <items count="201">
        <item x="129"/>
        <item x="144"/>
        <item x="161"/>
        <item x="24"/>
        <item x="7"/>
        <item x="32"/>
        <item x="72"/>
        <item x="180"/>
        <item x="108"/>
        <item x="39"/>
        <item x="82"/>
        <item x="170"/>
        <item x="105"/>
        <item x="43"/>
        <item x="111"/>
        <item x="73"/>
        <item x="191"/>
        <item x="124"/>
        <item x="14"/>
        <item x="54"/>
        <item x="165"/>
        <item x="85"/>
        <item x="115"/>
        <item x="79"/>
        <item x="116"/>
        <item x="87"/>
        <item x="86"/>
        <item x="83"/>
        <item x="173"/>
        <item x="178"/>
        <item x="117"/>
        <item x="156"/>
        <item x="60"/>
        <item x="22"/>
        <item x="104"/>
        <item x="30"/>
        <item x="137"/>
        <item x="186"/>
        <item x="177"/>
        <item x="76"/>
        <item x="74"/>
        <item x="130"/>
        <item x="36"/>
        <item x="153"/>
        <item x="167"/>
        <item x="123"/>
        <item x="98"/>
        <item x="70"/>
        <item x="16"/>
        <item x="40"/>
        <item x="172"/>
        <item x="21"/>
        <item x="28"/>
        <item x="139"/>
        <item x="135"/>
        <item x="99"/>
        <item x="92"/>
        <item x="29"/>
        <item x="157"/>
        <item x="44"/>
        <item x="131"/>
        <item x="133"/>
        <item x="89"/>
        <item x="47"/>
        <item x="46"/>
        <item x="67"/>
        <item x="4"/>
        <item x="58"/>
        <item x="136"/>
        <item x="158"/>
        <item x="132"/>
        <item x="199"/>
        <item x="193"/>
        <item x="8"/>
        <item x="0"/>
        <item x="190"/>
        <item x="38"/>
        <item x="19"/>
        <item x="119"/>
        <item x="26"/>
        <item x="121"/>
        <item x="23"/>
        <item x="52"/>
        <item x="140"/>
        <item x="128"/>
        <item x="18"/>
        <item x="195"/>
        <item x="15"/>
        <item x="6"/>
        <item x="96"/>
        <item x="35"/>
        <item x="179"/>
        <item x="181"/>
        <item x="118"/>
        <item x="100"/>
        <item x="185"/>
        <item x="93"/>
        <item x="64"/>
        <item x="2"/>
        <item x="66"/>
        <item x="65"/>
        <item x="160"/>
        <item x="51"/>
        <item x="78"/>
        <item x="154"/>
        <item x="187"/>
        <item x="45"/>
        <item x="125"/>
        <item x="192"/>
        <item x="88"/>
        <item x="48"/>
        <item x="164"/>
        <item x="146"/>
        <item x="151"/>
        <item x="126"/>
        <item x="107"/>
        <item x="198"/>
        <item x="3"/>
        <item x="127"/>
        <item x="113"/>
        <item x="122"/>
        <item x="61"/>
        <item x="31"/>
        <item x="138"/>
        <item x="95"/>
        <item x="25"/>
        <item x="57"/>
        <item x="62"/>
        <item x="27"/>
        <item x="110"/>
        <item x="168"/>
        <item x="106"/>
        <item x="194"/>
        <item x="84"/>
        <item x="17"/>
        <item x="143"/>
        <item x="9"/>
        <item x="10"/>
        <item x="69"/>
        <item x="97"/>
        <item x="56"/>
        <item x="90"/>
        <item x="53"/>
        <item x="5"/>
        <item x="150"/>
        <item x="166"/>
        <item x="112"/>
        <item x="159"/>
        <item x="1"/>
        <item x="63"/>
        <item x="80"/>
        <item x="174"/>
        <item x="49"/>
        <item x="91"/>
        <item x="182"/>
        <item x="175"/>
        <item x="188"/>
        <item x="134"/>
        <item x="120"/>
        <item x="162"/>
        <item x="145"/>
        <item x="184"/>
        <item x="75"/>
        <item x="42"/>
        <item x="33"/>
        <item x="77"/>
        <item x="50"/>
        <item x="148"/>
        <item x="94"/>
        <item x="68"/>
        <item x="20"/>
        <item x="55"/>
        <item x="197"/>
        <item x="189"/>
        <item x="37"/>
        <item x="114"/>
        <item x="147"/>
        <item x="171"/>
        <item x="169"/>
        <item x="59"/>
        <item x="155"/>
        <item x="71"/>
        <item x="196"/>
        <item x="81"/>
        <item x="142"/>
        <item x="41"/>
        <item x="13"/>
        <item x="176"/>
        <item x="109"/>
        <item x="141"/>
        <item x="102"/>
        <item x="103"/>
        <item x="11"/>
        <item x="12"/>
        <item x="149"/>
        <item x="183"/>
        <item x="163"/>
        <item x="152"/>
        <item x="34"/>
        <item x="101"/>
        <item t="default"/>
      </items>
    </pivotField>
    <pivotField axis="axisRow" showAll="0">
      <items count="5">
        <item x="0"/>
        <item h="1" x="2"/>
        <item h="1" x="1"/>
        <item h="1" x="3"/>
        <item t="default"/>
      </items>
    </pivotField>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70CC37-356C-4E2D-8B14-DCD15E189631}" autoFormatId="16" applyNumberFormats="0" applyBorderFormats="0" applyFontFormats="0" applyPatternFormats="0" applyAlignmentFormats="0" applyWidthHeightFormats="0">
  <queryTableRefresh nextId="12">
    <queryTableFields count="11">
      <queryTableField id="1" name="OrderID" tableColumnId="1"/>
      <queryTableField id="2" name="Date" tableColumnId="2"/>
      <queryTableField id="3" name="Region" tableColumnId="3"/>
      <queryTableField id="4" name="Salesperson" tableColumnId="4"/>
      <queryTableField id="5" name="Product" tableColumnId="5"/>
      <queryTableField id="6" name="Category" tableColumnId="6"/>
      <queryTableField id="7" name="Quantity" tableColumnId="7"/>
      <queryTableField id="8" name="UnitPrice" tableColumnId="8"/>
      <queryTableField id="9" name="Sales" tableColumnId="9"/>
      <queryTableField id="10" name="Cost" tableColumnId="10"/>
      <queryTableField id="11" name="Profi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C13430-B988-4FF8-A3C9-55B40C3665A9}" sourceName="Region">
  <pivotTables>
    <pivotTable tabId="7" name="PivotTable5"/>
    <pivotTable tabId="7" name="PivotTable2"/>
    <pivotTable tabId="7" name="PivotTable3"/>
    <pivotTable tabId="7" name="PivotTable4"/>
  </pivotTables>
  <data>
    <tabular pivotCacheId="620110033">
      <items count="4">
        <i x="0" s="1"/>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834084F-9140-48E8-8231-C6B121510770}" sourceName="Salesperson">
  <pivotTables>
    <pivotTable tabId="7" name="PivotTable5"/>
  </pivotTables>
  <data>
    <tabular pivotCacheId="620110033">
      <items count="12">
        <i x="9" nd="1"/>
        <i x="5" nd="1"/>
        <i x="3" nd="1"/>
        <i x="6" nd="1"/>
        <i x="10" s="1" nd="1"/>
        <i x="0" nd="1"/>
        <i x="4" nd="1"/>
        <i x="1" nd="1"/>
        <i x="8" nd="1"/>
        <i x="2" nd="1"/>
        <i x="11"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D1F659-74CF-4C6A-9CA4-70AB8F7C96D1}" sourceName="Category">
  <pivotTables>
    <pivotTable tabId="7" name="PivotTable5"/>
  </pivotTables>
  <data>
    <tabular pivotCacheId="620110033">
      <items count="4">
        <i x="3" s="1" nd="1"/>
        <i x="1" nd="1"/>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1B875C-C919-49A9-A7D0-7C2EE418E4A5}" cache="Slicer_Region" caption="Region" rowHeight="241300"/>
  <slicer name="Salesperson" xr10:uid="{14339A06-FECD-43D2-90F4-D404999C3B2E}" cache="Slicer_Salesperson" caption="Salesperson" startItem="3" rowHeight="241300"/>
  <slicer name="Category" xr10:uid="{333C2BCA-B156-48FF-BF2F-A28787DD686A}"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76ED197-7DEB-4D93-B831-A760C300CB15}" cache="Slicer_Region" caption="Region" rowHeight="241300"/>
  <slicer name="Salesperson 1" xr10:uid="{B7420CC3-8BDF-483C-AF1F-C1B482F3586B}" cache="Slicer_Salesperson" caption="Salesperson" startItem="3" rowHeight="241300"/>
  <slicer name="Category 1" xr10:uid="{DF863BF4-6E1C-454B-895D-C99CC1DAA4D6}"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494FE9-0B56-42A4-86A2-3DDE9B78FE00}" name="SalesData_1" displayName="SalesData_1" ref="A1:K201" tableType="queryTable" totalsRowShown="0">
  <autoFilter ref="A1:K201" xr:uid="{67494FE9-0B56-42A4-86A2-3DDE9B78FE00}"/>
  <tableColumns count="11">
    <tableColumn id="1" xr3:uid="{39FF3012-7CFC-475C-94E1-FDF89E6D4366}" uniqueName="1" name="OrderID" queryTableFieldId="1"/>
    <tableColumn id="2" xr3:uid="{A0ADAF38-9D7E-4A2C-9E7A-E878E4992BAD}" uniqueName="2" name="Date" queryTableFieldId="2" dataDxfId="11"/>
    <tableColumn id="3" xr3:uid="{102D729B-FDAA-4707-9112-6B957CF53FF6}" uniqueName="3" name="Region" queryTableFieldId="3" dataDxfId="10"/>
    <tableColumn id="4" xr3:uid="{99AC0C04-A48B-4197-975F-8C62D9405EB7}" uniqueName="4" name="Salesperson" queryTableFieldId="4" dataDxfId="9"/>
    <tableColumn id="5" xr3:uid="{63E8D781-531E-4766-A6E3-7FC30328A6D4}" uniqueName="5" name="Product" queryTableFieldId="5" dataDxfId="8"/>
    <tableColumn id="6" xr3:uid="{E0C2B763-CFCA-4896-8B6E-7061D2479C8C}" uniqueName="6" name="Category" queryTableFieldId="6" dataDxfId="7"/>
    <tableColumn id="7" xr3:uid="{DB915BB2-0AC7-4DB6-B900-35F975C290F5}" uniqueName="7" name="Quantity" queryTableFieldId="7"/>
    <tableColumn id="8" xr3:uid="{60597A0A-8C0F-47DD-B6EF-6398846691E4}" uniqueName="8" name="UnitPrice" queryTableFieldId="8"/>
    <tableColumn id="9" xr3:uid="{05F47441-98ED-4B14-86D2-641838DCEB7E}" uniqueName="9" name="Sales" queryTableFieldId="9"/>
    <tableColumn id="10" xr3:uid="{10596D33-B948-4AC2-889A-CFA0A16B7AE5}" uniqueName="10" name="Cost" queryTableFieldId="10"/>
    <tableColumn id="11" xr3:uid="{DAE28FDF-6F8C-40AF-9D78-3DD15CCEC687}" uniqueName="11" name="Profit"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EE10B9-7556-48EF-83A0-4A792EF049E7}" name="Table5" displayName="Table5" ref="A4:B8" totalsRowShown="0">
  <autoFilter ref="A4:B8" xr:uid="{7EEE10B9-7556-48EF-83A0-4A792EF049E7}"/>
  <tableColumns count="2">
    <tableColumn id="1" xr3:uid="{A35D780F-62E0-4B1C-A318-3A0EB128E2E8}" name="KPI" dataDxfId="1"/>
    <tableColumn id="2" xr3:uid="{54FF3516-F7EA-41C9-BF83-DFB16C314EA0}" name="Formula" dataDxfId="0"/>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M201">
  <autoFilter ref="A1:M201" xr:uid="{00000000-0009-0000-0100-000001000000}"/>
  <sortState xmlns:xlrd2="http://schemas.microsoft.com/office/spreadsheetml/2017/richdata2" ref="A2:L201">
    <sortCondition ref="H2:H201"/>
  </sortState>
  <tableColumns count="13">
    <tableColumn id="1" xr3:uid="{00000000-0010-0000-0000-000001000000}" name="OrderID"/>
    <tableColumn id="2" xr3:uid="{00000000-0010-0000-0000-000002000000}" name="Date"/>
    <tableColumn id="3" xr3:uid="{00000000-0010-0000-0000-000003000000}" name="Region"/>
    <tableColumn id="4" xr3:uid="{00000000-0010-0000-0000-000004000000}" name="Salesperson"/>
    <tableColumn id="5" xr3:uid="{00000000-0010-0000-0000-000005000000}" name="Product"/>
    <tableColumn id="13" xr3:uid="{351A294F-D416-4E2F-8793-1973EF8C5D17}" name="Lookup_Category" dataDxfId="2">
      <calculatedColumnFormula>INDEX(SalesData[Category],MATCH(SalesData[[#This Row],[Product]],SalesData[Product],0))</calculatedColumnFormula>
    </tableColumn>
    <tableColumn id="6" xr3:uid="{00000000-0010-0000-0000-000006000000}" name="Category"/>
    <tableColumn id="7" xr3:uid="{00000000-0010-0000-0000-000007000000}" name="Quantity"/>
    <tableColumn id="8" xr3:uid="{00000000-0010-0000-0000-000008000000}" name="UnitPrice"/>
    <tableColumn id="9" xr3:uid="{00000000-0010-0000-0000-000009000000}" name="Sales"/>
    <tableColumn id="10" xr3:uid="{00000000-0010-0000-0000-00000A000000}" name="Cost"/>
    <tableColumn id="11" xr3:uid="{00000000-0010-0000-0000-00000B000000}" name="Profit"/>
    <tableColumn id="12" xr3:uid="{369C28E9-663E-4635-9445-C895B523DA10}" name="Column1" dataDxfId="6">
      <calculatedColumnFormula>IF(L2&gt;200,"High Profit","Low Profit")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0120-1C1B-4391-8782-B90C7FA5E629}">
  <dimension ref="A1:K201"/>
  <sheetViews>
    <sheetView workbookViewId="0">
      <selection activeCell="C13" sqref="C13"/>
    </sheetView>
  </sheetViews>
  <sheetFormatPr defaultRowHeight="15"/>
  <cols>
    <col min="1" max="1" width="10.28515625" bestFit="1" customWidth="1"/>
    <col min="2" max="2" width="15.5703125" bestFit="1" customWidth="1"/>
    <col min="3" max="3" width="9.42578125" bestFit="1" customWidth="1"/>
    <col min="4" max="4" width="14" bestFit="1" customWidth="1"/>
    <col min="5" max="5" width="12.140625" bestFit="1" customWidth="1"/>
    <col min="6" max="6" width="11.28515625" bestFit="1" customWidth="1"/>
    <col min="7" max="7" width="11" bestFit="1" customWidth="1"/>
    <col min="8" max="8" width="11.5703125" bestFit="1" customWidth="1"/>
    <col min="9" max="9" width="7.85546875" bestFit="1" customWidth="1"/>
    <col min="10" max="10" width="7.140625" bestFit="1" customWidth="1"/>
    <col min="11" max="11" width="8.28515625" bestFit="1" customWidth="1"/>
  </cols>
  <sheetData>
    <row r="1" spans="1:11">
      <c r="A1" t="s">
        <v>0</v>
      </c>
      <c r="B1" t="s">
        <v>1</v>
      </c>
      <c r="C1" t="s">
        <v>2</v>
      </c>
      <c r="D1" t="s">
        <v>3</v>
      </c>
      <c r="E1" t="s">
        <v>4</v>
      </c>
      <c r="F1" t="s">
        <v>5</v>
      </c>
      <c r="G1" t="s">
        <v>6</v>
      </c>
      <c r="H1" t="s">
        <v>7</v>
      </c>
      <c r="I1" t="s">
        <v>8</v>
      </c>
      <c r="J1" t="s">
        <v>9</v>
      </c>
      <c r="K1" t="s">
        <v>10</v>
      </c>
    </row>
    <row r="2" spans="1:11">
      <c r="A2">
        <v>1075</v>
      </c>
      <c r="B2" s="2">
        <v>45732</v>
      </c>
      <c r="C2" s="3" t="s">
        <v>11</v>
      </c>
      <c r="D2" s="3" t="s">
        <v>15</v>
      </c>
      <c r="E2" s="3" t="s">
        <v>20</v>
      </c>
      <c r="F2" s="3" t="s">
        <v>14</v>
      </c>
      <c r="G2">
        <v>1</v>
      </c>
      <c r="H2">
        <v>854</v>
      </c>
      <c r="I2">
        <v>854</v>
      </c>
      <c r="J2">
        <v>683</v>
      </c>
      <c r="K2">
        <v>171</v>
      </c>
    </row>
    <row r="3" spans="1:11">
      <c r="A3">
        <v>1149</v>
      </c>
      <c r="B3" s="2">
        <v>45806</v>
      </c>
      <c r="C3" s="3" t="s">
        <v>24</v>
      </c>
      <c r="D3" s="3" t="s">
        <v>22</v>
      </c>
      <c r="E3" s="3" t="s">
        <v>13</v>
      </c>
      <c r="F3" s="3" t="s">
        <v>14</v>
      </c>
      <c r="G3">
        <v>1</v>
      </c>
      <c r="H3">
        <v>1102</v>
      </c>
      <c r="I3">
        <v>1102</v>
      </c>
      <c r="J3">
        <v>881</v>
      </c>
      <c r="K3">
        <v>221</v>
      </c>
    </row>
    <row r="4" spans="1:11">
      <c r="A4">
        <v>1099</v>
      </c>
      <c r="B4" s="2">
        <v>45756</v>
      </c>
      <c r="C4" s="3" t="s">
        <v>24</v>
      </c>
      <c r="D4" s="3" t="s">
        <v>15</v>
      </c>
      <c r="E4" s="3" t="s">
        <v>13</v>
      </c>
      <c r="F4" s="3" t="s">
        <v>14</v>
      </c>
      <c r="G4">
        <v>1</v>
      </c>
      <c r="H4">
        <v>1157</v>
      </c>
      <c r="I4">
        <v>1157</v>
      </c>
      <c r="J4">
        <v>925</v>
      </c>
      <c r="K4">
        <v>232</v>
      </c>
    </row>
    <row r="5" spans="1:11">
      <c r="A5">
        <v>1118</v>
      </c>
      <c r="B5" s="2">
        <v>45775</v>
      </c>
      <c r="C5" s="3" t="s">
        <v>24</v>
      </c>
      <c r="D5" s="3" t="s">
        <v>15</v>
      </c>
      <c r="E5" s="3" t="s">
        <v>13</v>
      </c>
      <c r="F5" s="3" t="s">
        <v>14</v>
      </c>
      <c r="G5">
        <v>1</v>
      </c>
      <c r="H5">
        <v>1198</v>
      </c>
      <c r="I5">
        <v>1198</v>
      </c>
      <c r="J5">
        <v>958</v>
      </c>
      <c r="K5">
        <v>240</v>
      </c>
    </row>
    <row r="6" spans="1:11">
      <c r="A6">
        <v>1067</v>
      </c>
      <c r="B6" s="2">
        <v>45724</v>
      </c>
      <c r="C6" s="3" t="s">
        <v>24</v>
      </c>
      <c r="D6" s="3" t="s">
        <v>12</v>
      </c>
      <c r="E6" s="3" t="s">
        <v>13</v>
      </c>
      <c r="F6" s="3" t="s">
        <v>14</v>
      </c>
      <c r="G6">
        <v>1</v>
      </c>
      <c r="H6">
        <v>1291</v>
      </c>
      <c r="I6">
        <v>1291</v>
      </c>
      <c r="J6">
        <v>1032</v>
      </c>
      <c r="K6">
        <v>259</v>
      </c>
    </row>
    <row r="7" spans="1:11">
      <c r="A7">
        <v>1144</v>
      </c>
      <c r="B7" s="2">
        <v>45801</v>
      </c>
      <c r="C7" s="3" t="s">
        <v>21</v>
      </c>
      <c r="D7" s="3" t="s">
        <v>12</v>
      </c>
      <c r="E7" s="3" t="s">
        <v>13</v>
      </c>
      <c r="F7" s="3" t="s">
        <v>14</v>
      </c>
      <c r="G7">
        <v>1</v>
      </c>
      <c r="H7">
        <v>1370</v>
      </c>
      <c r="I7">
        <v>1370</v>
      </c>
      <c r="J7">
        <v>1096</v>
      </c>
      <c r="K7">
        <v>274</v>
      </c>
    </row>
    <row r="8" spans="1:11">
      <c r="A8">
        <v>1089</v>
      </c>
      <c r="B8" s="2">
        <v>45746</v>
      </c>
      <c r="C8" s="3" t="s">
        <v>24</v>
      </c>
      <c r="D8" s="3" t="s">
        <v>12</v>
      </c>
      <c r="E8" s="3" t="s">
        <v>23</v>
      </c>
      <c r="F8" s="3" t="s">
        <v>14</v>
      </c>
      <c r="G8">
        <v>1</v>
      </c>
      <c r="H8">
        <v>2827</v>
      </c>
      <c r="I8">
        <v>2827</v>
      </c>
      <c r="J8">
        <v>2261</v>
      </c>
      <c r="K8">
        <v>566</v>
      </c>
    </row>
    <row r="9" spans="1:11">
      <c r="A9">
        <v>1005</v>
      </c>
      <c r="B9" s="2">
        <v>45662</v>
      </c>
      <c r="C9" s="3" t="s">
        <v>21</v>
      </c>
      <c r="D9" s="3" t="s">
        <v>22</v>
      </c>
      <c r="E9" s="3" t="s">
        <v>23</v>
      </c>
      <c r="F9" s="3" t="s">
        <v>14</v>
      </c>
      <c r="G9">
        <v>1</v>
      </c>
      <c r="H9">
        <v>3106</v>
      </c>
      <c r="I9">
        <v>3106</v>
      </c>
      <c r="J9">
        <v>2484</v>
      </c>
      <c r="K9">
        <v>622</v>
      </c>
    </row>
    <row r="10" spans="1:11">
      <c r="A10">
        <v>1074</v>
      </c>
      <c r="B10" s="2">
        <v>45731</v>
      </c>
      <c r="C10" s="3" t="s">
        <v>24</v>
      </c>
      <c r="D10" s="3" t="s">
        <v>12</v>
      </c>
      <c r="E10" s="3" t="s">
        <v>23</v>
      </c>
      <c r="F10" s="3" t="s">
        <v>14</v>
      </c>
      <c r="G10">
        <v>1</v>
      </c>
      <c r="H10">
        <v>3118</v>
      </c>
      <c r="I10">
        <v>3118</v>
      </c>
      <c r="J10">
        <v>2494</v>
      </c>
      <c r="K10">
        <v>624</v>
      </c>
    </row>
    <row r="11" spans="1:11">
      <c r="A11">
        <v>1137</v>
      </c>
      <c r="B11" s="2">
        <v>45794</v>
      </c>
      <c r="C11" s="3" t="s">
        <v>25</v>
      </c>
      <c r="D11" s="3" t="s">
        <v>12</v>
      </c>
      <c r="E11" s="3" t="s">
        <v>27</v>
      </c>
      <c r="F11" s="3" t="s">
        <v>18</v>
      </c>
      <c r="G11">
        <v>1</v>
      </c>
      <c r="H11">
        <v>11898</v>
      </c>
      <c r="I11">
        <v>11898</v>
      </c>
      <c r="J11">
        <v>9518</v>
      </c>
      <c r="K11">
        <v>2380</v>
      </c>
    </row>
    <row r="12" spans="1:11">
      <c r="A12">
        <v>1138</v>
      </c>
      <c r="B12" s="2">
        <v>45795</v>
      </c>
      <c r="C12" s="3" t="s">
        <v>24</v>
      </c>
      <c r="D12" s="3" t="s">
        <v>16</v>
      </c>
      <c r="E12" s="3" t="s">
        <v>27</v>
      </c>
      <c r="F12" s="3" t="s">
        <v>18</v>
      </c>
      <c r="G12">
        <v>1</v>
      </c>
      <c r="H12">
        <v>11994</v>
      </c>
      <c r="I12">
        <v>11994</v>
      </c>
      <c r="J12">
        <v>9595</v>
      </c>
      <c r="K12">
        <v>2399</v>
      </c>
    </row>
    <row r="13" spans="1:11">
      <c r="A13">
        <v>1193</v>
      </c>
      <c r="B13" s="2">
        <v>45850</v>
      </c>
      <c r="C13" s="3" t="s">
        <v>25</v>
      </c>
      <c r="D13" s="3" t="s">
        <v>26</v>
      </c>
      <c r="E13" s="3" t="s">
        <v>27</v>
      </c>
      <c r="F13" s="3" t="s">
        <v>18</v>
      </c>
      <c r="G13">
        <v>1</v>
      </c>
      <c r="H13">
        <v>12093</v>
      </c>
      <c r="I13">
        <v>12093</v>
      </c>
      <c r="J13">
        <v>9674</v>
      </c>
      <c r="K13">
        <v>2419</v>
      </c>
    </row>
    <row r="14" spans="1:11">
      <c r="A14">
        <v>1194</v>
      </c>
      <c r="B14" s="2">
        <v>45851</v>
      </c>
      <c r="C14" s="3" t="s">
        <v>24</v>
      </c>
      <c r="D14" s="3" t="s">
        <v>26</v>
      </c>
      <c r="E14" s="3" t="s">
        <v>27</v>
      </c>
      <c r="F14" s="3" t="s">
        <v>18</v>
      </c>
      <c r="G14">
        <v>1</v>
      </c>
      <c r="H14">
        <v>12153</v>
      </c>
      <c r="I14">
        <v>12153</v>
      </c>
      <c r="J14">
        <v>9722</v>
      </c>
      <c r="K14">
        <v>2431</v>
      </c>
    </row>
    <row r="15" spans="1:11">
      <c r="A15">
        <v>1187</v>
      </c>
      <c r="B15" s="2">
        <v>45844</v>
      </c>
      <c r="C15" s="3" t="s">
        <v>11</v>
      </c>
      <c r="D15" s="3" t="s">
        <v>22</v>
      </c>
      <c r="E15" s="3" t="s">
        <v>28</v>
      </c>
      <c r="F15" s="3" t="s">
        <v>18</v>
      </c>
      <c r="G15">
        <v>1</v>
      </c>
      <c r="H15">
        <v>14813</v>
      </c>
      <c r="I15">
        <v>14813</v>
      </c>
      <c r="J15">
        <v>11850</v>
      </c>
      <c r="K15">
        <v>2963</v>
      </c>
    </row>
    <row r="16" spans="1:11">
      <c r="A16">
        <v>1019</v>
      </c>
      <c r="B16" s="2">
        <v>45676</v>
      </c>
      <c r="C16" s="3" t="s">
        <v>21</v>
      </c>
      <c r="D16" s="3" t="s">
        <v>16</v>
      </c>
      <c r="E16" s="3" t="s">
        <v>28</v>
      </c>
      <c r="F16" s="3" t="s">
        <v>18</v>
      </c>
      <c r="G16">
        <v>1</v>
      </c>
      <c r="H16">
        <v>14894</v>
      </c>
      <c r="I16">
        <v>14894</v>
      </c>
      <c r="J16">
        <v>11915</v>
      </c>
      <c r="K16">
        <v>2979</v>
      </c>
    </row>
    <row r="17" spans="1:11">
      <c r="A17">
        <v>1088</v>
      </c>
      <c r="B17" s="2">
        <v>45745</v>
      </c>
      <c r="C17" s="3" t="s">
        <v>21</v>
      </c>
      <c r="D17" s="3" t="s">
        <v>15</v>
      </c>
      <c r="E17" s="3" t="s">
        <v>28</v>
      </c>
      <c r="F17" s="3" t="s">
        <v>18</v>
      </c>
      <c r="G17">
        <v>1</v>
      </c>
      <c r="H17">
        <v>15078</v>
      </c>
      <c r="I17">
        <v>15078</v>
      </c>
      <c r="J17">
        <v>12062</v>
      </c>
      <c r="K17">
        <v>3016</v>
      </c>
    </row>
    <row r="18" spans="1:11">
      <c r="A18">
        <v>1049</v>
      </c>
      <c r="B18" s="2">
        <v>45706</v>
      </c>
      <c r="C18" s="3" t="s">
        <v>25</v>
      </c>
      <c r="D18" s="3" t="s">
        <v>22</v>
      </c>
      <c r="E18" s="3" t="s">
        <v>28</v>
      </c>
      <c r="F18" s="3" t="s">
        <v>18</v>
      </c>
      <c r="G18">
        <v>1</v>
      </c>
      <c r="H18">
        <v>15198</v>
      </c>
      <c r="I18">
        <v>15198</v>
      </c>
      <c r="J18">
        <v>12158</v>
      </c>
      <c r="K18">
        <v>3040</v>
      </c>
    </row>
    <row r="19" spans="1:11">
      <c r="A19">
        <v>1135</v>
      </c>
      <c r="B19" s="2">
        <v>45792</v>
      </c>
      <c r="C19" s="3" t="s">
        <v>11</v>
      </c>
      <c r="D19" s="3" t="s">
        <v>16</v>
      </c>
      <c r="E19" s="3" t="s">
        <v>29</v>
      </c>
      <c r="F19" s="3" t="s">
        <v>18</v>
      </c>
      <c r="G19">
        <v>1</v>
      </c>
      <c r="H19">
        <v>24853</v>
      </c>
      <c r="I19">
        <v>24853</v>
      </c>
      <c r="J19">
        <v>19882</v>
      </c>
      <c r="K19">
        <v>4971</v>
      </c>
    </row>
    <row r="20" spans="1:11">
      <c r="A20">
        <v>1086</v>
      </c>
      <c r="B20" s="2">
        <v>45743</v>
      </c>
      <c r="C20" s="3" t="s">
        <v>21</v>
      </c>
      <c r="D20" s="3" t="s">
        <v>19</v>
      </c>
      <c r="E20" s="3" t="s">
        <v>17</v>
      </c>
      <c r="F20" s="3" t="s">
        <v>18</v>
      </c>
      <c r="G20">
        <v>1</v>
      </c>
      <c r="H20">
        <v>49852</v>
      </c>
      <c r="I20">
        <v>49852</v>
      </c>
      <c r="J20">
        <v>39881</v>
      </c>
      <c r="K20">
        <v>9971</v>
      </c>
    </row>
    <row r="21" spans="1:11">
      <c r="A21">
        <v>1078</v>
      </c>
      <c r="B21" s="2">
        <v>45735</v>
      </c>
      <c r="C21" s="3" t="s">
        <v>11</v>
      </c>
      <c r="D21" s="3" t="s">
        <v>22</v>
      </c>
      <c r="E21" s="3" t="s">
        <v>17</v>
      </c>
      <c r="F21" s="3" t="s">
        <v>18</v>
      </c>
      <c r="G21">
        <v>1</v>
      </c>
      <c r="H21">
        <v>49859</v>
      </c>
      <c r="I21">
        <v>49859</v>
      </c>
      <c r="J21">
        <v>39887</v>
      </c>
      <c r="K21">
        <v>9972</v>
      </c>
    </row>
    <row r="22" spans="1:11">
      <c r="A22">
        <v>1171</v>
      </c>
      <c r="B22" s="2">
        <v>45828</v>
      </c>
      <c r="C22" s="3" t="s">
        <v>21</v>
      </c>
      <c r="D22" s="3" t="s">
        <v>19</v>
      </c>
      <c r="E22" s="3" t="s">
        <v>17</v>
      </c>
      <c r="F22" s="3" t="s">
        <v>18</v>
      </c>
      <c r="G22">
        <v>1</v>
      </c>
      <c r="H22">
        <v>49989</v>
      </c>
      <c r="I22">
        <v>49989</v>
      </c>
      <c r="J22">
        <v>39991</v>
      </c>
      <c r="K22">
        <v>9998</v>
      </c>
    </row>
    <row r="23" spans="1:11">
      <c r="A23">
        <v>1052</v>
      </c>
      <c r="B23" s="2">
        <v>45709</v>
      </c>
      <c r="C23" s="3" t="s">
        <v>11</v>
      </c>
      <c r="D23" s="3" t="s">
        <v>16</v>
      </c>
      <c r="E23" s="3" t="s">
        <v>17</v>
      </c>
      <c r="F23" s="3" t="s">
        <v>18</v>
      </c>
      <c r="G23">
        <v>1</v>
      </c>
      <c r="H23">
        <v>50110</v>
      </c>
      <c r="I23">
        <v>50110</v>
      </c>
      <c r="J23">
        <v>40088</v>
      </c>
      <c r="K23">
        <v>10022</v>
      </c>
    </row>
    <row r="24" spans="1:11">
      <c r="A24">
        <v>1034</v>
      </c>
      <c r="B24" s="2">
        <v>45691</v>
      </c>
      <c r="C24" s="3" t="s">
        <v>11</v>
      </c>
      <c r="D24" s="3" t="s">
        <v>12</v>
      </c>
      <c r="E24" s="3" t="s">
        <v>20</v>
      </c>
      <c r="F24" s="3" t="s">
        <v>14</v>
      </c>
      <c r="G24">
        <v>2</v>
      </c>
      <c r="H24">
        <v>617</v>
      </c>
      <c r="I24">
        <v>1234</v>
      </c>
      <c r="J24">
        <v>987</v>
      </c>
      <c r="K24">
        <v>247</v>
      </c>
    </row>
    <row r="25" spans="1:11">
      <c r="A25">
        <v>1082</v>
      </c>
      <c r="B25" s="2">
        <v>45739</v>
      </c>
      <c r="C25" s="3" t="s">
        <v>24</v>
      </c>
      <c r="D25" s="3" t="s">
        <v>12</v>
      </c>
      <c r="E25" s="3" t="s">
        <v>20</v>
      </c>
      <c r="F25" s="3" t="s">
        <v>14</v>
      </c>
      <c r="G25">
        <v>2</v>
      </c>
      <c r="H25">
        <v>650</v>
      </c>
      <c r="I25">
        <v>1300</v>
      </c>
      <c r="J25">
        <v>1040</v>
      </c>
      <c r="K25">
        <v>260</v>
      </c>
    </row>
    <row r="26" spans="1:11">
      <c r="A26">
        <v>1004</v>
      </c>
      <c r="B26" s="2">
        <v>45661</v>
      </c>
      <c r="C26" s="3" t="s">
        <v>11</v>
      </c>
      <c r="D26" s="3" t="s">
        <v>19</v>
      </c>
      <c r="E26" s="3" t="s">
        <v>20</v>
      </c>
      <c r="F26" s="3" t="s">
        <v>14</v>
      </c>
      <c r="G26">
        <v>2</v>
      </c>
      <c r="H26">
        <v>685</v>
      </c>
      <c r="I26">
        <v>1370</v>
      </c>
      <c r="J26">
        <v>1096</v>
      </c>
      <c r="K26">
        <v>274</v>
      </c>
    </row>
    <row r="27" spans="1:11">
      <c r="A27">
        <v>1126</v>
      </c>
      <c r="B27" s="2">
        <v>45783</v>
      </c>
      <c r="C27" s="3" t="s">
        <v>21</v>
      </c>
      <c r="D27" s="3" t="s">
        <v>26</v>
      </c>
      <c r="E27" s="3" t="s">
        <v>20</v>
      </c>
      <c r="F27" s="3" t="s">
        <v>14</v>
      </c>
      <c r="G27">
        <v>2</v>
      </c>
      <c r="H27">
        <v>709</v>
      </c>
      <c r="I27">
        <v>1418</v>
      </c>
      <c r="J27">
        <v>1134</v>
      </c>
      <c r="K27">
        <v>284</v>
      </c>
    </row>
    <row r="28" spans="1:11">
      <c r="A28">
        <v>1080</v>
      </c>
      <c r="B28" s="2">
        <v>45737</v>
      </c>
      <c r="C28" s="3" t="s">
        <v>21</v>
      </c>
      <c r="D28" s="3" t="s">
        <v>22</v>
      </c>
      <c r="E28" s="3" t="s">
        <v>20</v>
      </c>
      <c r="F28" s="3" t="s">
        <v>14</v>
      </c>
      <c r="G28">
        <v>2</v>
      </c>
      <c r="H28">
        <v>754</v>
      </c>
      <c r="I28">
        <v>1508</v>
      </c>
      <c r="J28">
        <v>1206</v>
      </c>
      <c r="K28">
        <v>302</v>
      </c>
    </row>
    <row r="29" spans="1:11">
      <c r="A29">
        <v>1129</v>
      </c>
      <c r="B29" s="2">
        <v>45786</v>
      </c>
      <c r="C29" s="3" t="s">
        <v>11</v>
      </c>
      <c r="D29" s="3" t="s">
        <v>22</v>
      </c>
      <c r="E29" s="3" t="s">
        <v>20</v>
      </c>
      <c r="F29" s="3" t="s">
        <v>14</v>
      </c>
      <c r="G29">
        <v>2</v>
      </c>
      <c r="H29">
        <v>777</v>
      </c>
      <c r="I29">
        <v>1554</v>
      </c>
      <c r="J29">
        <v>1243</v>
      </c>
      <c r="K29">
        <v>311</v>
      </c>
    </row>
    <row r="30" spans="1:11">
      <c r="A30">
        <v>1053</v>
      </c>
      <c r="B30" s="2">
        <v>45710</v>
      </c>
      <c r="C30" s="3" t="s">
        <v>24</v>
      </c>
      <c r="D30" s="3" t="s">
        <v>22</v>
      </c>
      <c r="E30" s="3" t="s">
        <v>20</v>
      </c>
      <c r="F30" s="3" t="s">
        <v>14</v>
      </c>
      <c r="G30">
        <v>2</v>
      </c>
      <c r="H30">
        <v>792</v>
      </c>
      <c r="I30">
        <v>1584</v>
      </c>
      <c r="J30">
        <v>1267</v>
      </c>
      <c r="K30">
        <v>317</v>
      </c>
    </row>
    <row r="31" spans="1:11">
      <c r="A31">
        <v>1058</v>
      </c>
      <c r="B31" s="2">
        <v>45715</v>
      </c>
      <c r="C31" s="3" t="s">
        <v>21</v>
      </c>
      <c r="D31" s="3" t="s">
        <v>22</v>
      </c>
      <c r="E31" s="3" t="s">
        <v>20</v>
      </c>
      <c r="F31" s="3" t="s">
        <v>14</v>
      </c>
      <c r="G31">
        <v>2</v>
      </c>
      <c r="H31">
        <v>904</v>
      </c>
      <c r="I31">
        <v>1808</v>
      </c>
      <c r="J31">
        <v>1446</v>
      </c>
      <c r="K31">
        <v>362</v>
      </c>
    </row>
    <row r="32" spans="1:11">
      <c r="A32">
        <v>1036</v>
      </c>
      <c r="B32" s="2">
        <v>45693</v>
      </c>
      <c r="C32" s="3" t="s">
        <v>21</v>
      </c>
      <c r="D32" s="3" t="s">
        <v>16</v>
      </c>
      <c r="E32" s="3" t="s">
        <v>13</v>
      </c>
      <c r="F32" s="3" t="s">
        <v>14</v>
      </c>
      <c r="G32">
        <v>2</v>
      </c>
      <c r="H32">
        <v>1122</v>
      </c>
      <c r="I32">
        <v>2244</v>
      </c>
      <c r="J32">
        <v>1795</v>
      </c>
      <c r="K32">
        <v>449</v>
      </c>
    </row>
    <row r="33" spans="1:11">
      <c r="A33">
        <v>1123</v>
      </c>
      <c r="B33" s="2">
        <v>45780</v>
      </c>
      <c r="C33" s="3" t="s">
        <v>21</v>
      </c>
      <c r="D33" s="3" t="s">
        <v>22</v>
      </c>
      <c r="E33" s="3" t="s">
        <v>13</v>
      </c>
      <c r="F33" s="3" t="s">
        <v>14</v>
      </c>
      <c r="G33">
        <v>2</v>
      </c>
      <c r="H33">
        <v>1154</v>
      </c>
      <c r="I33">
        <v>2308</v>
      </c>
      <c r="J33">
        <v>1846</v>
      </c>
      <c r="K33">
        <v>462</v>
      </c>
    </row>
    <row r="34" spans="1:11">
      <c r="A34">
        <v>1006</v>
      </c>
      <c r="B34" s="2">
        <v>45663</v>
      </c>
      <c r="C34" s="3" t="s">
        <v>24</v>
      </c>
      <c r="D34" s="3" t="s">
        <v>19</v>
      </c>
      <c r="E34" s="3" t="s">
        <v>23</v>
      </c>
      <c r="F34" s="3" t="s">
        <v>14</v>
      </c>
      <c r="G34">
        <v>2</v>
      </c>
      <c r="H34">
        <v>2881</v>
      </c>
      <c r="I34">
        <v>5762</v>
      </c>
      <c r="J34">
        <v>4609</v>
      </c>
      <c r="K34">
        <v>1153</v>
      </c>
    </row>
    <row r="35" spans="1:11">
      <c r="A35">
        <v>1165</v>
      </c>
      <c r="B35" s="2">
        <v>45822</v>
      </c>
      <c r="C35" s="3" t="s">
        <v>21</v>
      </c>
      <c r="D35" s="3" t="s">
        <v>22</v>
      </c>
      <c r="E35" s="3" t="s">
        <v>23</v>
      </c>
      <c r="F35" s="3" t="s">
        <v>14</v>
      </c>
      <c r="G35">
        <v>2</v>
      </c>
      <c r="H35">
        <v>2960</v>
      </c>
      <c r="I35">
        <v>5920</v>
      </c>
      <c r="J35">
        <v>4736</v>
      </c>
      <c r="K35">
        <v>1184</v>
      </c>
    </row>
    <row r="36" spans="1:11">
      <c r="A36">
        <v>1199</v>
      </c>
      <c r="B36" s="2">
        <v>45856</v>
      </c>
      <c r="C36" s="3" t="s">
        <v>25</v>
      </c>
      <c r="D36" s="3" t="s">
        <v>12</v>
      </c>
      <c r="E36" s="3" t="s">
        <v>23</v>
      </c>
      <c r="F36" s="3" t="s">
        <v>14</v>
      </c>
      <c r="G36">
        <v>2</v>
      </c>
      <c r="H36">
        <v>3008</v>
      </c>
      <c r="I36">
        <v>6016</v>
      </c>
      <c r="J36">
        <v>4812</v>
      </c>
      <c r="K36">
        <v>1204</v>
      </c>
    </row>
    <row r="37" spans="1:11">
      <c r="A37">
        <v>1091</v>
      </c>
      <c r="B37" s="2">
        <v>45748</v>
      </c>
      <c r="C37" s="3" t="s">
        <v>11</v>
      </c>
      <c r="D37" s="3" t="s">
        <v>19</v>
      </c>
      <c r="E37" s="3" t="s">
        <v>23</v>
      </c>
      <c r="F37" s="3" t="s">
        <v>14</v>
      </c>
      <c r="G37">
        <v>2</v>
      </c>
      <c r="H37">
        <v>3160</v>
      </c>
      <c r="I37">
        <v>6320</v>
      </c>
      <c r="J37">
        <v>5056</v>
      </c>
      <c r="K37">
        <v>1264</v>
      </c>
    </row>
    <row r="38" spans="1:11">
      <c r="A38">
        <v>1043</v>
      </c>
      <c r="B38" s="2">
        <v>45700</v>
      </c>
      <c r="C38" s="3" t="s">
        <v>24</v>
      </c>
      <c r="D38" s="3" t="s">
        <v>15</v>
      </c>
      <c r="E38" s="3" t="s">
        <v>23</v>
      </c>
      <c r="F38" s="3" t="s">
        <v>14</v>
      </c>
      <c r="G38">
        <v>2</v>
      </c>
      <c r="H38">
        <v>3167</v>
      </c>
      <c r="I38">
        <v>6334</v>
      </c>
      <c r="J38">
        <v>5067</v>
      </c>
      <c r="K38">
        <v>1267</v>
      </c>
    </row>
    <row r="39" spans="1:11">
      <c r="A39">
        <v>1175</v>
      </c>
      <c r="B39" s="2">
        <v>45832</v>
      </c>
      <c r="C39" s="3" t="s">
        <v>21</v>
      </c>
      <c r="D39" s="3" t="s">
        <v>12</v>
      </c>
      <c r="E39" s="3" t="s">
        <v>27</v>
      </c>
      <c r="F39" s="3" t="s">
        <v>18</v>
      </c>
      <c r="G39">
        <v>2</v>
      </c>
      <c r="H39">
        <v>12014</v>
      </c>
      <c r="I39">
        <v>24028</v>
      </c>
      <c r="J39">
        <v>19222</v>
      </c>
      <c r="K39">
        <v>4806</v>
      </c>
    </row>
    <row r="40" spans="1:11">
      <c r="A40">
        <v>1077</v>
      </c>
      <c r="B40" s="2">
        <v>45734</v>
      </c>
      <c r="C40" s="3" t="s">
        <v>24</v>
      </c>
      <c r="D40" s="3" t="s">
        <v>19</v>
      </c>
      <c r="E40" s="3" t="s">
        <v>27</v>
      </c>
      <c r="F40" s="3" t="s">
        <v>18</v>
      </c>
      <c r="G40">
        <v>2</v>
      </c>
      <c r="H40">
        <v>12053</v>
      </c>
      <c r="I40">
        <v>24106</v>
      </c>
      <c r="J40">
        <v>19284</v>
      </c>
      <c r="K40">
        <v>4822</v>
      </c>
    </row>
    <row r="41" spans="1:11">
      <c r="A41">
        <v>1010</v>
      </c>
      <c r="B41" s="2">
        <v>45667</v>
      </c>
      <c r="C41" s="3" t="s">
        <v>21</v>
      </c>
      <c r="D41" s="3" t="s">
        <v>26</v>
      </c>
      <c r="E41" s="3" t="s">
        <v>27</v>
      </c>
      <c r="F41" s="3" t="s">
        <v>18</v>
      </c>
      <c r="G41">
        <v>2</v>
      </c>
      <c r="H41">
        <v>12194</v>
      </c>
      <c r="I41">
        <v>24388</v>
      </c>
      <c r="J41">
        <v>19510</v>
      </c>
      <c r="K41">
        <v>4878</v>
      </c>
    </row>
    <row r="42" spans="1:11">
      <c r="A42">
        <v>1050</v>
      </c>
      <c r="B42" s="2">
        <v>45707</v>
      </c>
      <c r="C42" s="3" t="s">
        <v>24</v>
      </c>
      <c r="D42" s="3" t="s">
        <v>16</v>
      </c>
      <c r="E42" s="3" t="s">
        <v>29</v>
      </c>
      <c r="F42" s="3" t="s">
        <v>18</v>
      </c>
      <c r="G42">
        <v>2</v>
      </c>
      <c r="H42">
        <v>24918</v>
      </c>
      <c r="I42">
        <v>49836</v>
      </c>
      <c r="J42">
        <v>39868</v>
      </c>
      <c r="K42">
        <v>9968</v>
      </c>
    </row>
    <row r="43" spans="1:11">
      <c r="A43">
        <v>1186</v>
      </c>
      <c r="B43" s="2">
        <v>45843</v>
      </c>
      <c r="C43" s="3" t="s">
        <v>11</v>
      </c>
      <c r="D43" s="3" t="s">
        <v>16</v>
      </c>
      <c r="E43" s="3" t="s">
        <v>29</v>
      </c>
      <c r="F43" s="3" t="s">
        <v>18</v>
      </c>
      <c r="G43">
        <v>2</v>
      </c>
      <c r="H43">
        <v>24938</v>
      </c>
      <c r="I43">
        <v>49876</v>
      </c>
      <c r="J43">
        <v>39900</v>
      </c>
      <c r="K43">
        <v>9976</v>
      </c>
    </row>
    <row r="44" spans="1:11">
      <c r="A44">
        <v>1164</v>
      </c>
      <c r="B44" s="2">
        <v>45821</v>
      </c>
      <c r="C44" s="3" t="s">
        <v>24</v>
      </c>
      <c r="D44" s="3" t="s">
        <v>16</v>
      </c>
      <c r="E44" s="3" t="s">
        <v>29</v>
      </c>
      <c r="F44" s="3" t="s">
        <v>18</v>
      </c>
      <c r="G44">
        <v>2</v>
      </c>
      <c r="H44">
        <v>25009</v>
      </c>
      <c r="I44">
        <v>50018</v>
      </c>
      <c r="J44">
        <v>40014</v>
      </c>
      <c r="K44">
        <v>10004</v>
      </c>
    </row>
    <row r="45" spans="1:11">
      <c r="A45">
        <v>1014</v>
      </c>
      <c r="B45" s="2">
        <v>45671</v>
      </c>
      <c r="C45" s="3" t="s">
        <v>24</v>
      </c>
      <c r="D45" s="3" t="s">
        <v>12</v>
      </c>
      <c r="E45" s="3" t="s">
        <v>29</v>
      </c>
      <c r="F45" s="3" t="s">
        <v>18</v>
      </c>
      <c r="G45">
        <v>2</v>
      </c>
      <c r="H45">
        <v>25142</v>
      </c>
      <c r="I45">
        <v>50284</v>
      </c>
      <c r="J45">
        <v>40227</v>
      </c>
      <c r="K45">
        <v>10057</v>
      </c>
    </row>
    <row r="46" spans="1:11">
      <c r="A46">
        <v>1060</v>
      </c>
      <c r="B46" s="2">
        <v>45717</v>
      </c>
      <c r="C46" s="3" t="s">
        <v>21</v>
      </c>
      <c r="D46" s="3" t="s">
        <v>26</v>
      </c>
      <c r="E46" s="3" t="s">
        <v>17</v>
      </c>
      <c r="F46" s="3" t="s">
        <v>18</v>
      </c>
      <c r="G46">
        <v>2</v>
      </c>
      <c r="H46">
        <v>49903</v>
      </c>
      <c r="I46">
        <v>99806</v>
      </c>
      <c r="J46">
        <v>79844</v>
      </c>
      <c r="K46">
        <v>19962</v>
      </c>
    </row>
    <row r="47" spans="1:11">
      <c r="A47">
        <v>1107</v>
      </c>
      <c r="B47" s="2">
        <v>45764</v>
      </c>
      <c r="C47" s="3" t="s">
        <v>11</v>
      </c>
      <c r="D47" s="3" t="s">
        <v>12</v>
      </c>
      <c r="E47" s="3" t="s">
        <v>17</v>
      </c>
      <c r="F47" s="3" t="s">
        <v>18</v>
      </c>
      <c r="G47">
        <v>2</v>
      </c>
      <c r="H47">
        <v>50174</v>
      </c>
      <c r="I47">
        <v>100348</v>
      </c>
      <c r="J47">
        <v>80278</v>
      </c>
      <c r="K47">
        <v>20070</v>
      </c>
    </row>
    <row r="48" spans="1:11">
      <c r="A48">
        <v>1065</v>
      </c>
      <c r="B48" s="2">
        <v>45722</v>
      </c>
      <c r="C48" s="3" t="s">
        <v>24</v>
      </c>
      <c r="D48" s="3" t="s">
        <v>15</v>
      </c>
      <c r="E48" s="3" t="s">
        <v>20</v>
      </c>
      <c r="F48" s="3" t="s">
        <v>14</v>
      </c>
      <c r="G48">
        <v>3</v>
      </c>
      <c r="H48">
        <v>705</v>
      </c>
      <c r="I48">
        <v>2115</v>
      </c>
      <c r="J48">
        <v>1692</v>
      </c>
      <c r="K48">
        <v>423</v>
      </c>
    </row>
    <row r="49" spans="1:11">
      <c r="A49">
        <v>1064</v>
      </c>
      <c r="B49" s="2">
        <v>45721</v>
      </c>
      <c r="C49" s="3" t="s">
        <v>25</v>
      </c>
      <c r="D49" s="3" t="s">
        <v>12</v>
      </c>
      <c r="E49" s="3" t="s">
        <v>20</v>
      </c>
      <c r="F49" s="3" t="s">
        <v>14</v>
      </c>
      <c r="G49">
        <v>3</v>
      </c>
      <c r="H49">
        <v>897</v>
      </c>
      <c r="I49">
        <v>2691</v>
      </c>
      <c r="J49">
        <v>2152</v>
      </c>
      <c r="K49">
        <v>539</v>
      </c>
    </row>
    <row r="50" spans="1:11">
      <c r="A50">
        <v>1111</v>
      </c>
      <c r="B50" s="2">
        <v>45768</v>
      </c>
      <c r="C50" s="3" t="s">
        <v>25</v>
      </c>
      <c r="D50" s="3" t="s">
        <v>16</v>
      </c>
      <c r="E50" s="3" t="s">
        <v>13</v>
      </c>
      <c r="F50" s="3" t="s">
        <v>14</v>
      </c>
      <c r="G50">
        <v>3</v>
      </c>
      <c r="H50">
        <v>1105</v>
      </c>
      <c r="I50">
        <v>3315</v>
      </c>
      <c r="J50">
        <v>2652</v>
      </c>
      <c r="K50">
        <v>663</v>
      </c>
    </row>
    <row r="51" spans="1:11">
      <c r="A51">
        <v>1153</v>
      </c>
      <c r="B51" s="2">
        <v>45810</v>
      </c>
      <c r="C51" s="3" t="s">
        <v>25</v>
      </c>
      <c r="D51" s="3" t="s">
        <v>19</v>
      </c>
      <c r="E51" s="3" t="s">
        <v>13</v>
      </c>
      <c r="F51" s="3" t="s">
        <v>14</v>
      </c>
      <c r="G51">
        <v>3</v>
      </c>
      <c r="H51">
        <v>1117</v>
      </c>
      <c r="I51">
        <v>3351</v>
      </c>
      <c r="J51">
        <v>2680</v>
      </c>
      <c r="K51">
        <v>671</v>
      </c>
    </row>
    <row r="52" spans="1:11">
      <c r="A52">
        <v>1167</v>
      </c>
      <c r="B52" s="2">
        <v>45824</v>
      </c>
      <c r="C52" s="3" t="s">
        <v>11</v>
      </c>
      <c r="D52" s="3" t="s">
        <v>19</v>
      </c>
      <c r="E52" s="3" t="s">
        <v>13</v>
      </c>
      <c r="F52" s="3" t="s">
        <v>14</v>
      </c>
      <c r="G52">
        <v>3</v>
      </c>
      <c r="H52">
        <v>1384</v>
      </c>
      <c r="I52">
        <v>4152</v>
      </c>
      <c r="J52">
        <v>3321</v>
      </c>
      <c r="K52">
        <v>831</v>
      </c>
    </row>
    <row r="53" spans="1:11">
      <c r="A53">
        <v>1103</v>
      </c>
      <c r="B53" s="2">
        <v>45760</v>
      </c>
      <c r="C53" s="3" t="s">
        <v>25</v>
      </c>
      <c r="D53" s="3" t="s">
        <v>15</v>
      </c>
      <c r="E53" s="3" t="s">
        <v>23</v>
      </c>
      <c r="F53" s="3" t="s">
        <v>14</v>
      </c>
      <c r="G53">
        <v>3</v>
      </c>
      <c r="H53">
        <v>2826</v>
      </c>
      <c r="I53">
        <v>8478</v>
      </c>
      <c r="J53">
        <v>6782</v>
      </c>
      <c r="K53">
        <v>1696</v>
      </c>
    </row>
    <row r="54" spans="1:11">
      <c r="A54">
        <v>1083</v>
      </c>
      <c r="B54" s="2">
        <v>45740</v>
      </c>
      <c r="C54" s="3" t="s">
        <v>25</v>
      </c>
      <c r="D54" s="3" t="s">
        <v>22</v>
      </c>
      <c r="E54" s="3" t="s">
        <v>23</v>
      </c>
      <c r="F54" s="3" t="s">
        <v>14</v>
      </c>
      <c r="G54">
        <v>3</v>
      </c>
      <c r="H54">
        <v>2886</v>
      </c>
      <c r="I54">
        <v>8658</v>
      </c>
      <c r="J54">
        <v>6926</v>
      </c>
      <c r="K54">
        <v>1732</v>
      </c>
    </row>
    <row r="55" spans="1:11">
      <c r="A55">
        <v>1143</v>
      </c>
      <c r="B55" s="2">
        <v>45800</v>
      </c>
      <c r="C55" s="3" t="s">
        <v>21</v>
      </c>
      <c r="D55" s="3" t="s">
        <v>15</v>
      </c>
      <c r="E55" s="3" t="s">
        <v>23</v>
      </c>
      <c r="F55" s="3" t="s">
        <v>14</v>
      </c>
      <c r="G55">
        <v>3</v>
      </c>
      <c r="H55">
        <v>2974</v>
      </c>
      <c r="I55">
        <v>8922</v>
      </c>
      <c r="J55">
        <v>7137</v>
      </c>
      <c r="K55">
        <v>1785</v>
      </c>
    </row>
    <row r="56" spans="1:11">
      <c r="A56">
        <v>1020</v>
      </c>
      <c r="B56" s="2">
        <v>45677</v>
      </c>
      <c r="C56" s="3" t="s">
        <v>24</v>
      </c>
      <c r="D56" s="3" t="s">
        <v>12</v>
      </c>
      <c r="E56" s="3" t="s">
        <v>23</v>
      </c>
      <c r="F56" s="3" t="s">
        <v>14</v>
      </c>
      <c r="G56">
        <v>3</v>
      </c>
      <c r="H56">
        <v>3000</v>
      </c>
      <c r="I56">
        <v>9000</v>
      </c>
      <c r="J56">
        <v>7200</v>
      </c>
      <c r="K56">
        <v>1800</v>
      </c>
    </row>
    <row r="57" spans="1:11">
      <c r="A57">
        <v>1172</v>
      </c>
      <c r="B57" s="2">
        <v>45829</v>
      </c>
      <c r="C57" s="3" t="s">
        <v>25</v>
      </c>
      <c r="D57" s="3" t="s">
        <v>19</v>
      </c>
      <c r="E57" s="3" t="s">
        <v>23</v>
      </c>
      <c r="F57" s="3" t="s">
        <v>14</v>
      </c>
      <c r="G57">
        <v>3</v>
      </c>
      <c r="H57">
        <v>3085</v>
      </c>
      <c r="I57">
        <v>9255</v>
      </c>
      <c r="J57">
        <v>7404</v>
      </c>
      <c r="K57">
        <v>1851</v>
      </c>
    </row>
    <row r="58" spans="1:11">
      <c r="A58">
        <v>1141</v>
      </c>
      <c r="B58" s="2">
        <v>45798</v>
      </c>
      <c r="C58" s="3" t="s">
        <v>25</v>
      </c>
      <c r="D58" s="3" t="s">
        <v>26</v>
      </c>
      <c r="E58" s="3" t="s">
        <v>23</v>
      </c>
      <c r="F58" s="3" t="s">
        <v>14</v>
      </c>
      <c r="G58">
        <v>3</v>
      </c>
      <c r="H58">
        <v>3108</v>
      </c>
      <c r="I58">
        <v>9324</v>
      </c>
      <c r="J58">
        <v>7459</v>
      </c>
      <c r="K58">
        <v>1865</v>
      </c>
    </row>
    <row r="59" spans="1:11">
      <c r="A59">
        <v>1127</v>
      </c>
      <c r="B59" s="2">
        <v>45784</v>
      </c>
      <c r="C59" s="3" t="s">
        <v>11</v>
      </c>
      <c r="D59" s="3" t="s">
        <v>19</v>
      </c>
      <c r="E59" s="3" t="s">
        <v>23</v>
      </c>
      <c r="F59" s="3" t="s">
        <v>14</v>
      </c>
      <c r="G59">
        <v>3</v>
      </c>
      <c r="H59">
        <v>3199</v>
      </c>
      <c r="I59">
        <v>9597</v>
      </c>
      <c r="J59">
        <v>7677</v>
      </c>
      <c r="K59">
        <v>1920</v>
      </c>
    </row>
    <row r="60" spans="1:11">
      <c r="A60">
        <v>1068</v>
      </c>
      <c r="B60" s="2">
        <v>45725</v>
      </c>
      <c r="C60" s="3" t="s">
        <v>21</v>
      </c>
      <c r="D60" s="3" t="s">
        <v>22</v>
      </c>
      <c r="E60" s="3" t="s">
        <v>27</v>
      </c>
      <c r="F60" s="3" t="s">
        <v>18</v>
      </c>
      <c r="G60">
        <v>3</v>
      </c>
      <c r="H60">
        <v>12062</v>
      </c>
      <c r="I60">
        <v>36186</v>
      </c>
      <c r="J60">
        <v>28948</v>
      </c>
      <c r="K60">
        <v>7238</v>
      </c>
    </row>
    <row r="61" spans="1:11">
      <c r="A61">
        <v>1180</v>
      </c>
      <c r="B61" s="2">
        <v>45837</v>
      </c>
      <c r="C61" s="3" t="s">
        <v>21</v>
      </c>
      <c r="D61" s="3" t="s">
        <v>26</v>
      </c>
      <c r="E61" s="3" t="s">
        <v>28</v>
      </c>
      <c r="F61" s="3" t="s">
        <v>18</v>
      </c>
      <c r="G61">
        <v>3</v>
      </c>
      <c r="H61">
        <v>14956</v>
      </c>
      <c r="I61">
        <v>44868</v>
      </c>
      <c r="J61">
        <v>35894</v>
      </c>
      <c r="K61">
        <v>8974</v>
      </c>
    </row>
    <row r="62" spans="1:11">
      <c r="A62">
        <v>1033</v>
      </c>
      <c r="B62" s="2">
        <v>45690</v>
      </c>
      <c r="C62" s="3" t="s">
        <v>25</v>
      </c>
      <c r="D62" s="3" t="s">
        <v>19</v>
      </c>
      <c r="E62" s="3" t="s">
        <v>28</v>
      </c>
      <c r="F62" s="3" t="s">
        <v>18</v>
      </c>
      <c r="G62">
        <v>3</v>
      </c>
      <c r="H62">
        <v>15034</v>
      </c>
      <c r="I62">
        <v>45102</v>
      </c>
      <c r="J62">
        <v>36081</v>
      </c>
      <c r="K62">
        <v>9021</v>
      </c>
    </row>
    <row r="63" spans="1:11">
      <c r="A63">
        <v>1122</v>
      </c>
      <c r="B63" s="2">
        <v>45779</v>
      </c>
      <c r="C63" s="3" t="s">
        <v>11</v>
      </c>
      <c r="D63" s="3" t="s">
        <v>22</v>
      </c>
      <c r="E63" s="3" t="s">
        <v>28</v>
      </c>
      <c r="F63" s="3" t="s">
        <v>18</v>
      </c>
      <c r="G63">
        <v>3</v>
      </c>
      <c r="H63">
        <v>15164</v>
      </c>
      <c r="I63">
        <v>45492</v>
      </c>
      <c r="J63">
        <v>36393</v>
      </c>
      <c r="K63">
        <v>9099</v>
      </c>
    </row>
    <row r="64" spans="1:11">
      <c r="A64">
        <v>1128</v>
      </c>
      <c r="B64" s="2">
        <v>45785</v>
      </c>
      <c r="C64" s="3" t="s">
        <v>11</v>
      </c>
      <c r="D64" s="3" t="s">
        <v>19</v>
      </c>
      <c r="E64" s="3" t="s">
        <v>29</v>
      </c>
      <c r="F64" s="3" t="s">
        <v>18</v>
      </c>
      <c r="G64">
        <v>3</v>
      </c>
      <c r="H64">
        <v>24894</v>
      </c>
      <c r="I64">
        <v>74682</v>
      </c>
      <c r="J64">
        <v>59745</v>
      </c>
      <c r="K64">
        <v>14937</v>
      </c>
    </row>
    <row r="65" spans="1:11">
      <c r="A65">
        <v>1150</v>
      </c>
      <c r="B65" s="2">
        <v>45807</v>
      </c>
      <c r="C65" s="3" t="s">
        <v>11</v>
      </c>
      <c r="D65" s="3" t="s">
        <v>26</v>
      </c>
      <c r="E65" s="3" t="s">
        <v>29</v>
      </c>
      <c r="F65" s="3" t="s">
        <v>18</v>
      </c>
      <c r="G65">
        <v>3</v>
      </c>
      <c r="H65">
        <v>24914</v>
      </c>
      <c r="I65">
        <v>74742</v>
      </c>
      <c r="J65">
        <v>59793</v>
      </c>
      <c r="K65">
        <v>14949</v>
      </c>
    </row>
    <row r="66" spans="1:11">
      <c r="A66">
        <v>1098</v>
      </c>
      <c r="B66" s="2">
        <v>45755</v>
      </c>
      <c r="C66" s="3" t="s">
        <v>21</v>
      </c>
      <c r="D66" s="3" t="s">
        <v>15</v>
      </c>
      <c r="E66" s="3" t="s">
        <v>29</v>
      </c>
      <c r="F66" s="3" t="s">
        <v>18</v>
      </c>
      <c r="G66">
        <v>3</v>
      </c>
      <c r="H66">
        <v>25062</v>
      </c>
      <c r="I66">
        <v>75186</v>
      </c>
      <c r="J66">
        <v>60148</v>
      </c>
      <c r="K66">
        <v>15038</v>
      </c>
    </row>
    <row r="67" spans="1:11">
      <c r="A67">
        <v>1101</v>
      </c>
      <c r="B67" s="2">
        <v>45758</v>
      </c>
      <c r="C67" s="3" t="s">
        <v>11</v>
      </c>
      <c r="D67" s="3" t="s">
        <v>15</v>
      </c>
      <c r="E67" s="3" t="s">
        <v>29</v>
      </c>
      <c r="F67" s="3" t="s">
        <v>18</v>
      </c>
      <c r="G67">
        <v>3</v>
      </c>
      <c r="H67">
        <v>25152</v>
      </c>
      <c r="I67">
        <v>75456</v>
      </c>
      <c r="J67">
        <v>60364</v>
      </c>
      <c r="K67">
        <v>15092</v>
      </c>
    </row>
    <row r="68" spans="1:11">
      <c r="A68">
        <v>1100</v>
      </c>
      <c r="B68" s="2">
        <v>45757</v>
      </c>
      <c r="C68" s="3" t="s">
        <v>25</v>
      </c>
      <c r="D68" s="3" t="s">
        <v>16</v>
      </c>
      <c r="E68" s="3" t="s">
        <v>29</v>
      </c>
      <c r="F68" s="3" t="s">
        <v>18</v>
      </c>
      <c r="G68">
        <v>3</v>
      </c>
      <c r="H68">
        <v>25200</v>
      </c>
      <c r="I68">
        <v>75600</v>
      </c>
      <c r="J68">
        <v>60480</v>
      </c>
      <c r="K68">
        <v>15120</v>
      </c>
    </row>
    <row r="69" spans="1:11">
      <c r="A69">
        <v>1066</v>
      </c>
      <c r="B69" s="2">
        <v>45723</v>
      </c>
      <c r="C69" s="3" t="s">
        <v>24</v>
      </c>
      <c r="D69" s="3" t="s">
        <v>22</v>
      </c>
      <c r="E69" s="3" t="s">
        <v>17</v>
      </c>
      <c r="F69" s="3" t="s">
        <v>18</v>
      </c>
      <c r="G69">
        <v>3</v>
      </c>
      <c r="H69">
        <v>49827</v>
      </c>
      <c r="I69">
        <v>149481</v>
      </c>
      <c r="J69">
        <v>119584</v>
      </c>
      <c r="K69">
        <v>29897</v>
      </c>
    </row>
    <row r="70" spans="1:11">
      <c r="A70">
        <v>1170</v>
      </c>
      <c r="B70" s="2">
        <v>45827</v>
      </c>
      <c r="C70" s="3" t="s">
        <v>21</v>
      </c>
      <c r="D70" s="3" t="s">
        <v>22</v>
      </c>
      <c r="E70" s="3" t="s">
        <v>17</v>
      </c>
      <c r="F70" s="3" t="s">
        <v>18</v>
      </c>
      <c r="G70">
        <v>3</v>
      </c>
      <c r="H70">
        <v>49913</v>
      </c>
      <c r="I70">
        <v>149739</v>
      </c>
      <c r="J70">
        <v>119791</v>
      </c>
      <c r="K70">
        <v>29948</v>
      </c>
    </row>
    <row r="71" spans="1:11">
      <c r="A71">
        <v>1139</v>
      </c>
      <c r="B71" s="2">
        <v>45796</v>
      </c>
      <c r="C71" s="3" t="s">
        <v>25</v>
      </c>
      <c r="D71" s="3" t="s">
        <v>22</v>
      </c>
      <c r="E71" s="3" t="s">
        <v>20</v>
      </c>
      <c r="F71" s="3" t="s">
        <v>14</v>
      </c>
      <c r="G71">
        <v>4</v>
      </c>
      <c r="H71">
        <v>610</v>
      </c>
      <c r="I71">
        <v>2440</v>
      </c>
      <c r="J71">
        <v>1952</v>
      </c>
      <c r="K71">
        <v>488</v>
      </c>
    </row>
    <row r="72" spans="1:11">
      <c r="A72">
        <v>1048</v>
      </c>
      <c r="B72" s="2">
        <v>45705</v>
      </c>
      <c r="C72" s="3" t="s">
        <v>25</v>
      </c>
      <c r="D72" s="3" t="s">
        <v>16</v>
      </c>
      <c r="E72" s="3" t="s">
        <v>20</v>
      </c>
      <c r="F72" s="3" t="s">
        <v>14</v>
      </c>
      <c r="G72">
        <v>4</v>
      </c>
      <c r="H72">
        <v>658</v>
      </c>
      <c r="I72">
        <v>2632</v>
      </c>
      <c r="J72">
        <v>2105</v>
      </c>
      <c r="K72">
        <v>527</v>
      </c>
    </row>
    <row r="73" spans="1:11">
      <c r="A73">
        <v>1182</v>
      </c>
      <c r="B73" s="2">
        <v>45839</v>
      </c>
      <c r="C73" s="3" t="s">
        <v>24</v>
      </c>
      <c r="D73" s="3" t="s">
        <v>15</v>
      </c>
      <c r="E73" s="3" t="s">
        <v>20</v>
      </c>
      <c r="F73" s="3" t="s">
        <v>14</v>
      </c>
      <c r="G73">
        <v>4</v>
      </c>
      <c r="H73">
        <v>839</v>
      </c>
      <c r="I73">
        <v>3356</v>
      </c>
      <c r="J73">
        <v>2684</v>
      </c>
      <c r="K73">
        <v>672</v>
      </c>
    </row>
    <row r="74" spans="1:11">
      <c r="A74">
        <v>1007</v>
      </c>
      <c r="B74" s="2">
        <v>45664</v>
      </c>
      <c r="C74" s="3" t="s">
        <v>25</v>
      </c>
      <c r="D74" s="3" t="s">
        <v>26</v>
      </c>
      <c r="E74" s="3" t="s">
        <v>20</v>
      </c>
      <c r="F74" s="3" t="s">
        <v>14</v>
      </c>
      <c r="G74">
        <v>4</v>
      </c>
      <c r="H74">
        <v>940</v>
      </c>
      <c r="I74">
        <v>3760</v>
      </c>
      <c r="J74">
        <v>3008</v>
      </c>
      <c r="K74">
        <v>752</v>
      </c>
    </row>
    <row r="75" spans="1:11">
      <c r="A75">
        <v>1016</v>
      </c>
      <c r="B75" s="2">
        <v>45673</v>
      </c>
      <c r="C75" s="3" t="s">
        <v>11</v>
      </c>
      <c r="D75" s="3" t="s">
        <v>15</v>
      </c>
      <c r="E75" s="3" t="s">
        <v>20</v>
      </c>
      <c r="F75" s="3" t="s">
        <v>14</v>
      </c>
      <c r="G75">
        <v>4</v>
      </c>
      <c r="H75">
        <v>984</v>
      </c>
      <c r="I75">
        <v>3936</v>
      </c>
      <c r="J75">
        <v>3148</v>
      </c>
      <c r="K75">
        <v>788</v>
      </c>
    </row>
    <row r="76" spans="1:11">
      <c r="A76">
        <v>1041</v>
      </c>
      <c r="B76" s="2">
        <v>45698</v>
      </c>
      <c r="C76" s="3" t="s">
        <v>21</v>
      </c>
      <c r="D76" s="3" t="s">
        <v>19</v>
      </c>
      <c r="E76" s="3" t="s">
        <v>13</v>
      </c>
      <c r="F76" s="3" t="s">
        <v>14</v>
      </c>
      <c r="G76">
        <v>4</v>
      </c>
      <c r="H76">
        <v>1375</v>
      </c>
      <c r="I76">
        <v>5500</v>
      </c>
      <c r="J76">
        <v>4400</v>
      </c>
      <c r="K76">
        <v>1100</v>
      </c>
    </row>
    <row r="77" spans="1:11">
      <c r="A77">
        <v>1163</v>
      </c>
      <c r="B77" s="2">
        <v>45820</v>
      </c>
      <c r="C77" s="3" t="s">
        <v>24</v>
      </c>
      <c r="D77" s="3" t="s">
        <v>26</v>
      </c>
      <c r="E77" s="3" t="s">
        <v>23</v>
      </c>
      <c r="F77" s="3" t="s">
        <v>14</v>
      </c>
      <c r="G77">
        <v>4</v>
      </c>
      <c r="H77">
        <v>2873</v>
      </c>
      <c r="I77">
        <v>11492</v>
      </c>
      <c r="J77">
        <v>9193</v>
      </c>
      <c r="K77">
        <v>2299</v>
      </c>
    </row>
    <row r="78" spans="1:11">
      <c r="A78">
        <v>1040</v>
      </c>
      <c r="B78" s="2">
        <v>45697</v>
      </c>
      <c r="C78" s="3" t="s">
        <v>21</v>
      </c>
      <c r="D78" s="3" t="s">
        <v>16</v>
      </c>
      <c r="E78" s="3" t="s">
        <v>23</v>
      </c>
      <c r="F78" s="3" t="s">
        <v>14</v>
      </c>
      <c r="G78">
        <v>4</v>
      </c>
      <c r="H78">
        <v>2889</v>
      </c>
      <c r="I78">
        <v>11556</v>
      </c>
      <c r="J78">
        <v>9244</v>
      </c>
      <c r="K78">
        <v>2312</v>
      </c>
    </row>
    <row r="79" spans="1:11">
      <c r="A79">
        <v>1166</v>
      </c>
      <c r="B79" s="2">
        <v>45823</v>
      </c>
      <c r="C79" s="3" t="s">
        <v>21</v>
      </c>
      <c r="D79" s="3" t="s">
        <v>22</v>
      </c>
      <c r="E79" s="3" t="s">
        <v>23</v>
      </c>
      <c r="F79" s="3" t="s">
        <v>14</v>
      </c>
      <c r="G79">
        <v>4</v>
      </c>
      <c r="H79">
        <v>2947</v>
      </c>
      <c r="I79">
        <v>11788</v>
      </c>
      <c r="J79">
        <v>9430</v>
      </c>
      <c r="K79">
        <v>2358</v>
      </c>
    </row>
    <row r="80" spans="1:11">
      <c r="A80">
        <v>1104</v>
      </c>
      <c r="B80" s="2">
        <v>45761</v>
      </c>
      <c r="C80" s="3" t="s">
        <v>25</v>
      </c>
      <c r="D80" s="3" t="s">
        <v>12</v>
      </c>
      <c r="E80" s="3" t="s">
        <v>23</v>
      </c>
      <c r="F80" s="3" t="s">
        <v>14</v>
      </c>
      <c r="G80">
        <v>4</v>
      </c>
      <c r="H80">
        <v>3088</v>
      </c>
      <c r="I80">
        <v>12352</v>
      </c>
      <c r="J80">
        <v>9881</v>
      </c>
      <c r="K80">
        <v>2471</v>
      </c>
    </row>
    <row r="81" spans="1:11">
      <c r="A81">
        <v>1024</v>
      </c>
      <c r="B81" s="2">
        <v>45681</v>
      </c>
      <c r="C81" s="3" t="s">
        <v>21</v>
      </c>
      <c r="D81" s="3" t="s">
        <v>12</v>
      </c>
      <c r="E81" s="3" t="s">
        <v>27</v>
      </c>
      <c r="F81" s="3" t="s">
        <v>18</v>
      </c>
      <c r="G81">
        <v>4</v>
      </c>
      <c r="H81">
        <v>11976</v>
      </c>
      <c r="I81">
        <v>47904</v>
      </c>
      <c r="J81">
        <v>38323</v>
      </c>
      <c r="K81">
        <v>9581</v>
      </c>
    </row>
    <row r="82" spans="1:11">
      <c r="A82">
        <v>1151</v>
      </c>
      <c r="B82" s="2">
        <v>45808</v>
      </c>
      <c r="C82" s="3" t="s">
        <v>25</v>
      </c>
      <c r="D82" s="3" t="s">
        <v>15</v>
      </c>
      <c r="E82" s="3" t="s">
        <v>27</v>
      </c>
      <c r="F82" s="3" t="s">
        <v>18</v>
      </c>
      <c r="G82">
        <v>4</v>
      </c>
      <c r="H82">
        <v>12144</v>
      </c>
      <c r="I82">
        <v>48576</v>
      </c>
      <c r="J82">
        <v>38860</v>
      </c>
      <c r="K82">
        <v>9716</v>
      </c>
    </row>
    <row r="83" spans="1:11">
      <c r="A83">
        <v>1184</v>
      </c>
      <c r="B83" s="2">
        <v>45841</v>
      </c>
      <c r="C83" s="3" t="s">
        <v>24</v>
      </c>
      <c r="D83" s="3" t="s">
        <v>22</v>
      </c>
      <c r="E83" s="3" t="s">
        <v>27</v>
      </c>
      <c r="F83" s="3" t="s">
        <v>18</v>
      </c>
      <c r="G83">
        <v>4</v>
      </c>
      <c r="H83">
        <v>12179</v>
      </c>
      <c r="I83">
        <v>48716</v>
      </c>
      <c r="J83">
        <v>38972</v>
      </c>
      <c r="K83">
        <v>9744</v>
      </c>
    </row>
    <row r="84" spans="1:11">
      <c r="A84">
        <v>1011</v>
      </c>
      <c r="B84" s="2">
        <v>45668</v>
      </c>
      <c r="C84" s="3" t="s">
        <v>25</v>
      </c>
      <c r="D84" s="3" t="s">
        <v>26</v>
      </c>
      <c r="E84" s="3" t="s">
        <v>28</v>
      </c>
      <c r="F84" s="3" t="s">
        <v>18</v>
      </c>
      <c r="G84">
        <v>4</v>
      </c>
      <c r="H84">
        <v>14905</v>
      </c>
      <c r="I84">
        <v>59620</v>
      </c>
      <c r="J84">
        <v>47696</v>
      </c>
      <c r="K84">
        <v>11924</v>
      </c>
    </row>
    <row r="85" spans="1:11">
      <c r="A85">
        <v>1028</v>
      </c>
      <c r="B85" s="2">
        <v>45685</v>
      </c>
      <c r="C85" s="3" t="s">
        <v>25</v>
      </c>
      <c r="D85" s="3" t="s">
        <v>19</v>
      </c>
      <c r="E85" s="3" t="s">
        <v>28</v>
      </c>
      <c r="F85" s="3" t="s">
        <v>18</v>
      </c>
      <c r="G85">
        <v>4</v>
      </c>
      <c r="H85">
        <v>14906</v>
      </c>
      <c r="I85">
        <v>59624</v>
      </c>
      <c r="J85">
        <v>47699</v>
      </c>
      <c r="K85">
        <v>11925</v>
      </c>
    </row>
    <row r="86" spans="1:11">
      <c r="A86">
        <v>1134</v>
      </c>
      <c r="B86" s="2">
        <v>45791</v>
      </c>
      <c r="C86" s="3" t="s">
        <v>25</v>
      </c>
      <c r="D86" s="3" t="s">
        <v>16</v>
      </c>
      <c r="E86" s="3" t="s">
        <v>28</v>
      </c>
      <c r="F86" s="3" t="s">
        <v>18</v>
      </c>
      <c r="G86">
        <v>4</v>
      </c>
      <c r="H86">
        <v>14959</v>
      </c>
      <c r="I86">
        <v>59836</v>
      </c>
      <c r="J86">
        <v>47868</v>
      </c>
      <c r="K86">
        <v>11968</v>
      </c>
    </row>
    <row r="87" spans="1:11">
      <c r="A87">
        <v>1022</v>
      </c>
      <c r="B87" s="2">
        <v>45679</v>
      </c>
      <c r="C87" s="3" t="s">
        <v>11</v>
      </c>
      <c r="D87" s="3" t="s">
        <v>22</v>
      </c>
      <c r="E87" s="3" t="s">
        <v>29</v>
      </c>
      <c r="F87" s="3" t="s">
        <v>18</v>
      </c>
      <c r="G87">
        <v>4</v>
      </c>
      <c r="H87">
        <v>25153</v>
      </c>
      <c r="I87">
        <v>100612</v>
      </c>
      <c r="J87">
        <v>80489</v>
      </c>
      <c r="K87">
        <v>20123</v>
      </c>
    </row>
    <row r="88" spans="1:11">
      <c r="A88">
        <v>1027</v>
      </c>
      <c r="B88" s="2">
        <v>45684</v>
      </c>
      <c r="C88" s="3" t="s">
        <v>21</v>
      </c>
      <c r="D88" s="3" t="s">
        <v>16</v>
      </c>
      <c r="E88" s="3" t="s">
        <v>17</v>
      </c>
      <c r="F88" s="3" t="s">
        <v>18</v>
      </c>
      <c r="G88">
        <v>4</v>
      </c>
      <c r="H88">
        <v>49920</v>
      </c>
      <c r="I88">
        <v>199680</v>
      </c>
      <c r="J88">
        <v>159744</v>
      </c>
      <c r="K88">
        <v>39936</v>
      </c>
    </row>
    <row r="89" spans="1:11">
      <c r="A89">
        <v>1026</v>
      </c>
      <c r="B89" s="2">
        <v>45683</v>
      </c>
      <c r="C89" s="3" t="s">
        <v>25</v>
      </c>
      <c r="D89" s="3" t="s">
        <v>12</v>
      </c>
      <c r="E89" s="3" t="s">
        <v>17</v>
      </c>
      <c r="F89" s="3" t="s">
        <v>18</v>
      </c>
      <c r="G89">
        <v>4</v>
      </c>
      <c r="H89">
        <v>49941</v>
      </c>
      <c r="I89">
        <v>199764</v>
      </c>
      <c r="J89">
        <v>159811</v>
      </c>
      <c r="K89">
        <v>39953</v>
      </c>
    </row>
    <row r="90" spans="1:11">
      <c r="A90">
        <v>1110</v>
      </c>
      <c r="B90" s="2">
        <v>45767</v>
      </c>
      <c r="C90" s="3" t="s">
        <v>24</v>
      </c>
      <c r="D90" s="3" t="s">
        <v>12</v>
      </c>
      <c r="E90" s="3" t="s">
        <v>17</v>
      </c>
      <c r="F90" s="3" t="s">
        <v>18</v>
      </c>
      <c r="G90">
        <v>4</v>
      </c>
      <c r="H90">
        <v>50109</v>
      </c>
      <c r="I90">
        <v>200436</v>
      </c>
      <c r="J90">
        <v>160348</v>
      </c>
      <c r="K90">
        <v>40088</v>
      </c>
    </row>
    <row r="91" spans="1:11">
      <c r="A91">
        <v>1063</v>
      </c>
      <c r="B91" s="2">
        <v>45720</v>
      </c>
      <c r="C91" s="3" t="s">
        <v>24</v>
      </c>
      <c r="D91" s="3" t="s">
        <v>16</v>
      </c>
      <c r="E91" s="3" t="s">
        <v>20</v>
      </c>
      <c r="F91" s="3" t="s">
        <v>14</v>
      </c>
      <c r="G91">
        <v>5</v>
      </c>
      <c r="H91">
        <v>799</v>
      </c>
      <c r="I91">
        <v>3995</v>
      </c>
      <c r="J91">
        <v>3196</v>
      </c>
      <c r="K91">
        <v>799</v>
      </c>
    </row>
    <row r="92" spans="1:11">
      <c r="A92">
        <v>1142</v>
      </c>
      <c r="B92" s="2">
        <v>45799</v>
      </c>
      <c r="C92" s="3" t="s">
        <v>25</v>
      </c>
      <c r="D92" s="3" t="s">
        <v>12</v>
      </c>
      <c r="E92" s="3" t="s">
        <v>13</v>
      </c>
      <c r="F92" s="3" t="s">
        <v>14</v>
      </c>
      <c r="G92">
        <v>5</v>
      </c>
      <c r="H92">
        <v>1171</v>
      </c>
      <c r="I92">
        <v>5855</v>
      </c>
      <c r="J92">
        <v>4684</v>
      </c>
      <c r="K92">
        <v>1171</v>
      </c>
    </row>
    <row r="93" spans="1:11">
      <c r="A93">
        <v>1154</v>
      </c>
      <c r="B93" s="2">
        <v>45811</v>
      </c>
      <c r="C93" s="3" t="s">
        <v>21</v>
      </c>
      <c r="D93" s="3" t="s">
        <v>26</v>
      </c>
      <c r="E93" s="3" t="s">
        <v>13</v>
      </c>
      <c r="F93" s="3" t="s">
        <v>14</v>
      </c>
      <c r="G93">
        <v>5</v>
      </c>
      <c r="H93">
        <v>1173</v>
      </c>
      <c r="I93">
        <v>5865</v>
      </c>
      <c r="J93">
        <v>4692</v>
      </c>
      <c r="K93">
        <v>1173</v>
      </c>
    </row>
    <row r="94" spans="1:11">
      <c r="A94">
        <v>1057</v>
      </c>
      <c r="B94" s="2">
        <v>45714</v>
      </c>
      <c r="C94" s="3" t="s">
        <v>11</v>
      </c>
      <c r="D94" s="3" t="s">
        <v>16</v>
      </c>
      <c r="E94" s="3" t="s">
        <v>13</v>
      </c>
      <c r="F94" s="3" t="s">
        <v>14</v>
      </c>
      <c r="G94">
        <v>5</v>
      </c>
      <c r="H94">
        <v>1227</v>
      </c>
      <c r="I94">
        <v>6135</v>
      </c>
      <c r="J94">
        <v>4908</v>
      </c>
      <c r="K94">
        <v>1227</v>
      </c>
    </row>
    <row r="95" spans="1:11">
      <c r="A95">
        <v>1097</v>
      </c>
      <c r="B95" s="2">
        <v>45754</v>
      </c>
      <c r="C95" s="3" t="s">
        <v>25</v>
      </c>
      <c r="D95" s="3" t="s">
        <v>19</v>
      </c>
      <c r="E95" s="3" t="s">
        <v>13</v>
      </c>
      <c r="F95" s="3" t="s">
        <v>14</v>
      </c>
      <c r="G95">
        <v>5</v>
      </c>
      <c r="H95">
        <v>1274</v>
      </c>
      <c r="I95">
        <v>6370</v>
      </c>
      <c r="J95">
        <v>5096</v>
      </c>
      <c r="K95">
        <v>1274</v>
      </c>
    </row>
    <row r="96" spans="1:11">
      <c r="A96">
        <v>1169</v>
      </c>
      <c r="B96" s="2">
        <v>45826</v>
      </c>
      <c r="C96" s="3" t="s">
        <v>24</v>
      </c>
      <c r="D96" s="3" t="s">
        <v>19</v>
      </c>
      <c r="E96" s="3" t="s">
        <v>27</v>
      </c>
      <c r="F96" s="3" t="s">
        <v>18</v>
      </c>
      <c r="G96">
        <v>5</v>
      </c>
      <c r="H96">
        <v>11850</v>
      </c>
      <c r="I96">
        <v>59250</v>
      </c>
      <c r="J96">
        <v>47400</v>
      </c>
      <c r="K96">
        <v>11850</v>
      </c>
    </row>
    <row r="97" spans="1:11">
      <c r="A97">
        <v>1125</v>
      </c>
      <c r="B97" s="2">
        <v>45782</v>
      </c>
      <c r="C97" s="3" t="s">
        <v>24</v>
      </c>
      <c r="D97" s="3" t="s">
        <v>22</v>
      </c>
      <c r="E97" s="3" t="s">
        <v>27</v>
      </c>
      <c r="F97" s="3" t="s">
        <v>18</v>
      </c>
      <c r="G97">
        <v>5</v>
      </c>
      <c r="H97">
        <v>12129</v>
      </c>
      <c r="I97">
        <v>60645</v>
      </c>
      <c r="J97">
        <v>48516</v>
      </c>
      <c r="K97">
        <v>12129</v>
      </c>
    </row>
    <row r="98" spans="1:11">
      <c r="A98">
        <v>1090</v>
      </c>
      <c r="B98" s="2">
        <v>45747</v>
      </c>
      <c r="C98" s="3" t="s">
        <v>11</v>
      </c>
      <c r="D98" s="3" t="s">
        <v>22</v>
      </c>
      <c r="E98" s="3" t="s">
        <v>28</v>
      </c>
      <c r="F98" s="3" t="s">
        <v>18</v>
      </c>
      <c r="G98">
        <v>5</v>
      </c>
      <c r="H98">
        <v>14898</v>
      </c>
      <c r="I98">
        <v>74490</v>
      </c>
      <c r="J98">
        <v>59592</v>
      </c>
      <c r="K98">
        <v>14898</v>
      </c>
    </row>
    <row r="99" spans="1:11">
      <c r="A99">
        <v>1140</v>
      </c>
      <c r="B99" s="2">
        <v>45797</v>
      </c>
      <c r="C99" s="3" t="s">
        <v>11</v>
      </c>
      <c r="D99" s="3" t="s">
        <v>15</v>
      </c>
      <c r="E99" s="3" t="s">
        <v>28</v>
      </c>
      <c r="F99" s="3" t="s">
        <v>18</v>
      </c>
      <c r="G99">
        <v>5</v>
      </c>
      <c r="H99">
        <v>14912</v>
      </c>
      <c r="I99">
        <v>74560</v>
      </c>
      <c r="J99">
        <v>59648</v>
      </c>
      <c r="K99">
        <v>14912</v>
      </c>
    </row>
    <row r="100" spans="1:11">
      <c r="A100">
        <v>1047</v>
      </c>
      <c r="B100" s="2">
        <v>45704</v>
      </c>
      <c r="C100" s="3" t="s">
        <v>24</v>
      </c>
      <c r="D100" s="3" t="s">
        <v>26</v>
      </c>
      <c r="E100" s="3" t="s">
        <v>28</v>
      </c>
      <c r="F100" s="3" t="s">
        <v>18</v>
      </c>
      <c r="G100">
        <v>5</v>
      </c>
      <c r="H100">
        <v>14986</v>
      </c>
      <c r="I100">
        <v>74930</v>
      </c>
      <c r="J100">
        <v>59944</v>
      </c>
      <c r="K100">
        <v>14986</v>
      </c>
    </row>
    <row r="101" spans="1:11">
      <c r="A101">
        <v>1056</v>
      </c>
      <c r="B101" s="2">
        <v>45713</v>
      </c>
      <c r="C101" s="3" t="s">
        <v>25</v>
      </c>
      <c r="D101" s="3" t="s">
        <v>12</v>
      </c>
      <c r="E101" s="3" t="s">
        <v>28</v>
      </c>
      <c r="F101" s="3" t="s">
        <v>18</v>
      </c>
      <c r="G101">
        <v>5</v>
      </c>
      <c r="H101">
        <v>15004</v>
      </c>
      <c r="I101">
        <v>75020</v>
      </c>
      <c r="J101">
        <v>60016</v>
      </c>
      <c r="K101">
        <v>15004</v>
      </c>
    </row>
    <row r="102" spans="1:11">
      <c r="A102">
        <v>1095</v>
      </c>
      <c r="B102" s="2">
        <v>45752</v>
      </c>
      <c r="C102" s="3" t="s">
        <v>21</v>
      </c>
      <c r="D102" s="3" t="s">
        <v>26</v>
      </c>
      <c r="E102" s="3" t="s">
        <v>28</v>
      </c>
      <c r="F102" s="3" t="s">
        <v>18</v>
      </c>
      <c r="G102">
        <v>5</v>
      </c>
      <c r="H102">
        <v>15124</v>
      </c>
      <c r="I102">
        <v>75620</v>
      </c>
      <c r="J102">
        <v>60496</v>
      </c>
      <c r="K102">
        <v>15124</v>
      </c>
    </row>
    <row r="103" spans="1:11">
      <c r="A103">
        <v>1200</v>
      </c>
      <c r="B103" s="2">
        <v>45857</v>
      </c>
      <c r="C103" s="3" t="s">
        <v>11</v>
      </c>
      <c r="D103" s="3" t="s">
        <v>16</v>
      </c>
      <c r="E103" s="3" t="s">
        <v>29</v>
      </c>
      <c r="F103" s="3" t="s">
        <v>18</v>
      </c>
      <c r="G103">
        <v>5</v>
      </c>
      <c r="H103">
        <v>24831</v>
      </c>
      <c r="I103">
        <v>124155</v>
      </c>
      <c r="J103">
        <v>99324</v>
      </c>
      <c r="K103">
        <v>24831</v>
      </c>
    </row>
    <row r="104" spans="1:11">
      <c r="A104">
        <v>1191</v>
      </c>
      <c r="B104" s="2">
        <v>45848</v>
      </c>
      <c r="C104" s="3" t="s">
        <v>21</v>
      </c>
      <c r="D104" s="3" t="s">
        <v>12</v>
      </c>
      <c r="E104" s="3" t="s">
        <v>29</v>
      </c>
      <c r="F104" s="3" t="s">
        <v>18</v>
      </c>
      <c r="G104">
        <v>5</v>
      </c>
      <c r="H104">
        <v>24840</v>
      </c>
      <c r="I104">
        <v>124200</v>
      </c>
      <c r="J104">
        <v>99360</v>
      </c>
      <c r="K104">
        <v>24840</v>
      </c>
    </row>
    <row r="105" spans="1:11">
      <c r="A105">
        <v>1192</v>
      </c>
      <c r="B105" s="2">
        <v>45849</v>
      </c>
      <c r="C105" s="3" t="s">
        <v>24</v>
      </c>
      <c r="D105" s="3" t="s">
        <v>19</v>
      </c>
      <c r="E105" s="3" t="s">
        <v>29</v>
      </c>
      <c r="F105" s="3" t="s">
        <v>18</v>
      </c>
      <c r="G105">
        <v>5</v>
      </c>
      <c r="H105">
        <v>24841</v>
      </c>
      <c r="I105">
        <v>124205</v>
      </c>
      <c r="J105">
        <v>99364</v>
      </c>
      <c r="K105">
        <v>24841</v>
      </c>
    </row>
    <row r="106" spans="1:11">
      <c r="A106">
        <v>1035</v>
      </c>
      <c r="B106" s="2">
        <v>45692</v>
      </c>
      <c r="C106" s="3" t="s">
        <v>24</v>
      </c>
      <c r="D106" s="3" t="s">
        <v>19</v>
      </c>
      <c r="E106" s="3" t="s">
        <v>29</v>
      </c>
      <c r="F106" s="3" t="s">
        <v>18</v>
      </c>
      <c r="G106">
        <v>5</v>
      </c>
      <c r="H106">
        <v>24959</v>
      </c>
      <c r="I106">
        <v>124795</v>
      </c>
      <c r="J106">
        <v>99836</v>
      </c>
      <c r="K106">
        <v>24959</v>
      </c>
    </row>
    <row r="107" spans="1:11">
      <c r="A107">
        <v>1013</v>
      </c>
      <c r="B107" s="2">
        <v>45670</v>
      </c>
      <c r="C107" s="3" t="s">
        <v>25</v>
      </c>
      <c r="D107" s="3" t="s">
        <v>16</v>
      </c>
      <c r="E107" s="3" t="s">
        <v>17</v>
      </c>
      <c r="F107" s="3" t="s">
        <v>18</v>
      </c>
      <c r="G107">
        <v>5</v>
      </c>
      <c r="H107">
        <v>49986</v>
      </c>
      <c r="I107">
        <v>249930</v>
      </c>
      <c r="J107">
        <v>199944</v>
      </c>
      <c r="K107">
        <v>49986</v>
      </c>
    </row>
    <row r="108" spans="1:11">
      <c r="A108">
        <v>1132</v>
      </c>
      <c r="B108" s="2">
        <v>45789</v>
      </c>
      <c r="C108" s="3" t="s">
        <v>25</v>
      </c>
      <c r="D108" s="3" t="s">
        <v>19</v>
      </c>
      <c r="E108" s="3" t="s">
        <v>17</v>
      </c>
      <c r="F108" s="3" t="s">
        <v>18</v>
      </c>
      <c r="G108">
        <v>5</v>
      </c>
      <c r="H108">
        <v>50123</v>
      </c>
      <c r="I108">
        <v>250615</v>
      </c>
      <c r="J108">
        <v>200492</v>
      </c>
      <c r="K108">
        <v>50123</v>
      </c>
    </row>
    <row r="109" spans="1:11">
      <c r="A109">
        <v>1116</v>
      </c>
      <c r="B109" s="2">
        <v>45773</v>
      </c>
      <c r="C109" s="3" t="s">
        <v>21</v>
      </c>
      <c r="D109" s="3" t="s">
        <v>22</v>
      </c>
      <c r="E109" s="3" t="s">
        <v>17</v>
      </c>
      <c r="F109" s="3" t="s">
        <v>18</v>
      </c>
      <c r="G109">
        <v>5</v>
      </c>
      <c r="H109">
        <v>50151</v>
      </c>
      <c r="I109">
        <v>250755</v>
      </c>
      <c r="J109">
        <v>200604</v>
      </c>
      <c r="K109">
        <v>50151</v>
      </c>
    </row>
    <row r="110" spans="1:11">
      <c r="A110">
        <v>1009</v>
      </c>
      <c r="B110" s="2">
        <v>45666</v>
      </c>
      <c r="C110" s="3" t="s">
        <v>21</v>
      </c>
      <c r="D110" s="3" t="s">
        <v>22</v>
      </c>
      <c r="E110" s="3" t="s">
        <v>17</v>
      </c>
      <c r="F110" s="3" t="s">
        <v>18</v>
      </c>
      <c r="G110">
        <v>5</v>
      </c>
      <c r="H110">
        <v>50167</v>
      </c>
      <c r="I110">
        <v>250835</v>
      </c>
      <c r="J110">
        <v>200668</v>
      </c>
      <c r="K110">
        <v>50167</v>
      </c>
    </row>
    <row r="111" spans="1:11">
      <c r="A111">
        <v>1189</v>
      </c>
      <c r="B111" s="2">
        <v>45846</v>
      </c>
      <c r="C111" s="3" t="s">
        <v>25</v>
      </c>
      <c r="D111" s="3" t="s">
        <v>22</v>
      </c>
      <c r="E111" s="3" t="s">
        <v>20</v>
      </c>
      <c r="F111" s="3" t="s">
        <v>14</v>
      </c>
      <c r="G111">
        <v>6</v>
      </c>
      <c r="H111">
        <v>611</v>
      </c>
      <c r="I111">
        <v>3666</v>
      </c>
      <c r="J111">
        <v>2932</v>
      </c>
      <c r="K111">
        <v>734</v>
      </c>
    </row>
    <row r="112" spans="1:11">
      <c r="A112">
        <v>1130</v>
      </c>
      <c r="B112" s="2">
        <v>45787</v>
      </c>
      <c r="C112" s="3" t="s">
        <v>24</v>
      </c>
      <c r="D112" s="3" t="s">
        <v>22</v>
      </c>
      <c r="E112" s="3" t="s">
        <v>20</v>
      </c>
      <c r="F112" s="3" t="s">
        <v>14</v>
      </c>
      <c r="G112">
        <v>6</v>
      </c>
      <c r="H112">
        <v>631</v>
      </c>
      <c r="I112">
        <v>3786</v>
      </c>
      <c r="J112">
        <v>3028</v>
      </c>
      <c r="K112">
        <v>758</v>
      </c>
    </row>
    <row r="113" spans="1:11">
      <c r="A113">
        <v>1015</v>
      </c>
      <c r="B113" s="2">
        <v>45672</v>
      </c>
      <c r="C113" s="3" t="s">
        <v>25</v>
      </c>
      <c r="D113" s="3" t="s">
        <v>16</v>
      </c>
      <c r="E113" s="3" t="s">
        <v>20</v>
      </c>
      <c r="F113" s="3" t="s">
        <v>14</v>
      </c>
      <c r="G113">
        <v>6</v>
      </c>
      <c r="H113">
        <v>654</v>
      </c>
      <c r="I113">
        <v>3924</v>
      </c>
      <c r="J113">
        <v>3139</v>
      </c>
      <c r="K113">
        <v>785</v>
      </c>
    </row>
    <row r="114" spans="1:11">
      <c r="A114">
        <v>1147</v>
      </c>
      <c r="B114" s="2">
        <v>45804</v>
      </c>
      <c r="C114" s="3" t="s">
        <v>25</v>
      </c>
      <c r="D114" s="3" t="s">
        <v>15</v>
      </c>
      <c r="E114" s="3" t="s">
        <v>20</v>
      </c>
      <c r="F114" s="3" t="s">
        <v>14</v>
      </c>
      <c r="G114">
        <v>6</v>
      </c>
      <c r="H114">
        <v>721</v>
      </c>
      <c r="I114">
        <v>4326</v>
      </c>
      <c r="J114">
        <v>3460</v>
      </c>
      <c r="K114">
        <v>866</v>
      </c>
    </row>
    <row r="115" spans="1:11">
      <c r="A115">
        <v>1120</v>
      </c>
      <c r="B115" s="2">
        <v>45777</v>
      </c>
      <c r="C115" s="3" t="s">
        <v>24</v>
      </c>
      <c r="D115" s="3" t="s">
        <v>26</v>
      </c>
      <c r="E115" s="3" t="s">
        <v>13</v>
      </c>
      <c r="F115" s="3" t="s">
        <v>14</v>
      </c>
      <c r="G115">
        <v>6</v>
      </c>
      <c r="H115">
        <v>1081</v>
      </c>
      <c r="I115">
        <v>6486</v>
      </c>
      <c r="J115">
        <v>5188</v>
      </c>
      <c r="K115">
        <v>1298</v>
      </c>
    </row>
    <row r="116" spans="1:11">
      <c r="A116">
        <v>1176</v>
      </c>
      <c r="B116" s="2">
        <v>45833</v>
      </c>
      <c r="C116" s="3" t="s">
        <v>11</v>
      </c>
      <c r="D116" s="3" t="s">
        <v>22</v>
      </c>
      <c r="E116" s="3" t="s">
        <v>13</v>
      </c>
      <c r="F116" s="3" t="s">
        <v>14</v>
      </c>
      <c r="G116">
        <v>6</v>
      </c>
      <c r="H116">
        <v>1112</v>
      </c>
      <c r="I116">
        <v>6672</v>
      </c>
      <c r="J116">
        <v>5337</v>
      </c>
      <c r="K116">
        <v>1335</v>
      </c>
    </row>
    <row r="117" spans="1:11">
      <c r="A117">
        <v>1023</v>
      </c>
      <c r="B117" s="2">
        <v>45680</v>
      </c>
      <c r="C117" s="3" t="s">
        <v>11</v>
      </c>
      <c r="D117" s="3" t="s">
        <v>22</v>
      </c>
      <c r="E117" s="3" t="s">
        <v>13</v>
      </c>
      <c r="F117" s="3" t="s">
        <v>14</v>
      </c>
      <c r="G117">
        <v>6</v>
      </c>
      <c r="H117">
        <v>1147</v>
      </c>
      <c r="I117">
        <v>6882</v>
      </c>
      <c r="J117">
        <v>5505</v>
      </c>
      <c r="K117">
        <v>1377</v>
      </c>
    </row>
    <row r="118" spans="1:11">
      <c r="A118">
        <v>1025</v>
      </c>
      <c r="B118" s="2">
        <v>45682</v>
      </c>
      <c r="C118" s="3" t="s">
        <v>11</v>
      </c>
      <c r="D118" s="3" t="s">
        <v>22</v>
      </c>
      <c r="E118" s="3" t="s">
        <v>13</v>
      </c>
      <c r="F118" s="3" t="s">
        <v>14</v>
      </c>
      <c r="G118">
        <v>6</v>
      </c>
      <c r="H118">
        <v>1377</v>
      </c>
      <c r="I118">
        <v>8262</v>
      </c>
      <c r="J118">
        <v>6609</v>
      </c>
      <c r="K118">
        <v>1653</v>
      </c>
    </row>
    <row r="119" spans="1:11">
      <c r="A119">
        <v>1031</v>
      </c>
      <c r="B119" s="2">
        <v>45688</v>
      </c>
      <c r="C119" s="3" t="s">
        <v>11</v>
      </c>
      <c r="D119" s="3" t="s">
        <v>19</v>
      </c>
      <c r="E119" s="3" t="s">
        <v>23</v>
      </c>
      <c r="F119" s="3" t="s">
        <v>14</v>
      </c>
      <c r="G119">
        <v>6</v>
      </c>
      <c r="H119">
        <v>2857</v>
      </c>
      <c r="I119">
        <v>17142</v>
      </c>
      <c r="J119">
        <v>13713</v>
      </c>
      <c r="K119">
        <v>3429</v>
      </c>
    </row>
    <row r="120" spans="1:11">
      <c r="A120">
        <v>1094</v>
      </c>
      <c r="B120" s="2">
        <v>45751</v>
      </c>
      <c r="C120" s="3" t="s">
        <v>24</v>
      </c>
      <c r="D120" s="3" t="s">
        <v>16</v>
      </c>
      <c r="E120" s="3" t="s">
        <v>23</v>
      </c>
      <c r="F120" s="3" t="s">
        <v>14</v>
      </c>
      <c r="G120">
        <v>6</v>
      </c>
      <c r="H120">
        <v>2992</v>
      </c>
      <c r="I120">
        <v>17952</v>
      </c>
      <c r="J120">
        <v>14361</v>
      </c>
      <c r="K120">
        <v>3591</v>
      </c>
    </row>
    <row r="121" spans="1:11">
      <c r="A121">
        <v>1079</v>
      </c>
      <c r="B121" s="2">
        <v>45736</v>
      </c>
      <c r="C121" s="3" t="s">
        <v>24</v>
      </c>
      <c r="D121" s="3" t="s">
        <v>19</v>
      </c>
      <c r="E121" s="3" t="s">
        <v>23</v>
      </c>
      <c r="F121" s="3" t="s">
        <v>14</v>
      </c>
      <c r="G121">
        <v>6</v>
      </c>
      <c r="H121">
        <v>3120</v>
      </c>
      <c r="I121">
        <v>18720</v>
      </c>
      <c r="J121">
        <v>14976</v>
      </c>
      <c r="K121">
        <v>3744</v>
      </c>
    </row>
    <row r="122" spans="1:11">
      <c r="A122">
        <v>1159</v>
      </c>
      <c r="B122" s="2">
        <v>45816</v>
      </c>
      <c r="C122" s="3" t="s">
        <v>21</v>
      </c>
      <c r="D122" s="3" t="s">
        <v>16</v>
      </c>
      <c r="E122" s="3" t="s">
        <v>23</v>
      </c>
      <c r="F122" s="3" t="s">
        <v>14</v>
      </c>
      <c r="G122">
        <v>6</v>
      </c>
      <c r="H122">
        <v>3161</v>
      </c>
      <c r="I122">
        <v>18966</v>
      </c>
      <c r="J122">
        <v>15172</v>
      </c>
      <c r="K122">
        <v>3794</v>
      </c>
    </row>
    <row r="123" spans="1:11">
      <c r="A123">
        <v>1081</v>
      </c>
      <c r="B123" s="2">
        <v>45738</v>
      </c>
      <c r="C123" s="3" t="s">
        <v>11</v>
      </c>
      <c r="D123" s="3" t="s">
        <v>19</v>
      </c>
      <c r="E123" s="3" t="s">
        <v>29</v>
      </c>
      <c r="F123" s="3" t="s">
        <v>18</v>
      </c>
      <c r="G123">
        <v>6</v>
      </c>
      <c r="H123">
        <v>24880</v>
      </c>
      <c r="I123">
        <v>149280</v>
      </c>
      <c r="J123">
        <v>119424</v>
      </c>
      <c r="K123">
        <v>29856</v>
      </c>
    </row>
    <row r="124" spans="1:11">
      <c r="A124">
        <v>1121</v>
      </c>
      <c r="B124" s="2">
        <v>45778</v>
      </c>
      <c r="C124" s="3" t="s">
        <v>24</v>
      </c>
      <c r="D124" s="3" t="s">
        <v>12</v>
      </c>
      <c r="E124" s="3" t="s">
        <v>29</v>
      </c>
      <c r="F124" s="3" t="s">
        <v>18</v>
      </c>
      <c r="G124">
        <v>6</v>
      </c>
      <c r="H124">
        <v>24944</v>
      </c>
      <c r="I124">
        <v>149664</v>
      </c>
      <c r="J124">
        <v>119731</v>
      </c>
      <c r="K124">
        <v>29933</v>
      </c>
    </row>
    <row r="125" spans="1:11">
      <c r="A125">
        <v>1046</v>
      </c>
      <c r="B125" s="2">
        <v>45703</v>
      </c>
      <c r="C125" s="3" t="s">
        <v>21</v>
      </c>
      <c r="D125" s="3" t="s">
        <v>16</v>
      </c>
      <c r="E125" s="3" t="s">
        <v>17</v>
      </c>
      <c r="F125" s="3" t="s">
        <v>18</v>
      </c>
      <c r="G125">
        <v>6</v>
      </c>
      <c r="H125">
        <v>49822</v>
      </c>
      <c r="I125">
        <v>298932</v>
      </c>
      <c r="J125">
        <v>239145</v>
      </c>
      <c r="K125">
        <v>59787</v>
      </c>
    </row>
    <row r="126" spans="1:11">
      <c r="A126">
        <v>1018</v>
      </c>
      <c r="B126" s="2">
        <v>45675</v>
      </c>
      <c r="C126" s="3" t="s">
        <v>21</v>
      </c>
      <c r="D126" s="3" t="s">
        <v>22</v>
      </c>
      <c r="E126" s="3" t="s">
        <v>17</v>
      </c>
      <c r="F126" s="3" t="s">
        <v>18</v>
      </c>
      <c r="G126">
        <v>6</v>
      </c>
      <c r="H126">
        <v>49882</v>
      </c>
      <c r="I126">
        <v>299292</v>
      </c>
      <c r="J126">
        <v>239433</v>
      </c>
      <c r="K126">
        <v>59859</v>
      </c>
    </row>
    <row r="127" spans="1:11">
      <c r="A127">
        <v>1108</v>
      </c>
      <c r="B127" s="2">
        <v>45765</v>
      </c>
      <c r="C127" s="3" t="s">
        <v>11</v>
      </c>
      <c r="D127" s="3" t="s">
        <v>15</v>
      </c>
      <c r="E127" s="3" t="s">
        <v>17</v>
      </c>
      <c r="F127" s="3" t="s">
        <v>18</v>
      </c>
      <c r="G127">
        <v>6</v>
      </c>
      <c r="H127">
        <v>50028</v>
      </c>
      <c r="I127">
        <v>300168</v>
      </c>
      <c r="J127">
        <v>240134</v>
      </c>
      <c r="K127">
        <v>60034</v>
      </c>
    </row>
    <row r="128" spans="1:11">
      <c r="A128">
        <v>1115</v>
      </c>
      <c r="B128" s="2">
        <v>45772</v>
      </c>
      <c r="C128" s="3" t="s">
        <v>24</v>
      </c>
      <c r="D128" s="3" t="s">
        <v>15</v>
      </c>
      <c r="E128" s="3" t="s">
        <v>17</v>
      </c>
      <c r="F128" s="3" t="s">
        <v>18</v>
      </c>
      <c r="G128">
        <v>6</v>
      </c>
      <c r="H128">
        <v>50101</v>
      </c>
      <c r="I128">
        <v>300606</v>
      </c>
      <c r="J128">
        <v>240484</v>
      </c>
      <c r="K128">
        <v>60122</v>
      </c>
    </row>
    <row r="129" spans="1:11">
      <c r="A129">
        <v>1119</v>
      </c>
      <c r="B129" s="2">
        <v>45776</v>
      </c>
      <c r="C129" s="3" t="s">
        <v>25</v>
      </c>
      <c r="D129" s="3" t="s">
        <v>16</v>
      </c>
      <c r="E129" s="3" t="s">
        <v>20</v>
      </c>
      <c r="F129" s="3" t="s">
        <v>14</v>
      </c>
      <c r="G129">
        <v>7</v>
      </c>
      <c r="H129">
        <v>747</v>
      </c>
      <c r="I129">
        <v>5229</v>
      </c>
      <c r="J129">
        <v>4183</v>
      </c>
      <c r="K129">
        <v>1046</v>
      </c>
    </row>
    <row r="130" spans="1:11">
      <c r="A130">
        <v>1085</v>
      </c>
      <c r="B130" s="2">
        <v>45742</v>
      </c>
      <c r="C130" s="3" t="s">
        <v>24</v>
      </c>
      <c r="D130" s="3" t="s">
        <v>19</v>
      </c>
      <c r="E130" s="3" t="s">
        <v>13</v>
      </c>
      <c r="F130" s="3" t="s">
        <v>14</v>
      </c>
      <c r="G130">
        <v>7</v>
      </c>
      <c r="H130">
        <v>1192</v>
      </c>
      <c r="I130">
        <v>8344</v>
      </c>
      <c r="J130">
        <v>6675</v>
      </c>
      <c r="K130">
        <v>1669</v>
      </c>
    </row>
    <row r="131" spans="1:11">
      <c r="A131">
        <v>1001</v>
      </c>
      <c r="B131" s="2">
        <v>45658</v>
      </c>
      <c r="C131" s="3" t="s">
        <v>11</v>
      </c>
      <c r="D131" s="3" t="s">
        <v>12</v>
      </c>
      <c r="E131" s="3" t="s">
        <v>13</v>
      </c>
      <c r="F131" s="3" t="s">
        <v>14</v>
      </c>
      <c r="G131">
        <v>7</v>
      </c>
      <c r="H131">
        <v>1259</v>
      </c>
      <c r="I131">
        <v>8813</v>
      </c>
      <c r="J131">
        <v>7050</v>
      </c>
      <c r="K131">
        <v>1763</v>
      </c>
    </row>
    <row r="132" spans="1:11">
      <c r="A132">
        <v>1042</v>
      </c>
      <c r="B132" s="2">
        <v>45699</v>
      </c>
      <c r="C132" s="3" t="s">
        <v>24</v>
      </c>
      <c r="D132" s="3" t="s">
        <v>12</v>
      </c>
      <c r="E132" s="3" t="s">
        <v>13</v>
      </c>
      <c r="F132" s="3" t="s">
        <v>14</v>
      </c>
      <c r="G132">
        <v>7</v>
      </c>
      <c r="H132">
        <v>1344</v>
      </c>
      <c r="I132">
        <v>9408</v>
      </c>
      <c r="J132">
        <v>7526</v>
      </c>
      <c r="K132">
        <v>1882</v>
      </c>
    </row>
    <row r="133" spans="1:11">
      <c r="A133">
        <v>1061</v>
      </c>
      <c r="B133" s="2">
        <v>45718</v>
      </c>
      <c r="C133" s="3" t="s">
        <v>21</v>
      </c>
      <c r="D133" s="3" t="s">
        <v>26</v>
      </c>
      <c r="E133" s="3" t="s">
        <v>23</v>
      </c>
      <c r="F133" s="3" t="s">
        <v>14</v>
      </c>
      <c r="G133">
        <v>7</v>
      </c>
      <c r="H133">
        <v>2867</v>
      </c>
      <c r="I133">
        <v>20069</v>
      </c>
      <c r="J133">
        <v>16055</v>
      </c>
      <c r="K133">
        <v>4014</v>
      </c>
    </row>
    <row r="134" spans="1:11">
      <c r="A134">
        <v>1071</v>
      </c>
      <c r="B134" s="2">
        <v>45728</v>
      </c>
      <c r="C134" s="3" t="s">
        <v>24</v>
      </c>
      <c r="D134" s="3" t="s">
        <v>16</v>
      </c>
      <c r="E134" s="3" t="s">
        <v>27</v>
      </c>
      <c r="F134" s="3" t="s">
        <v>18</v>
      </c>
      <c r="G134">
        <v>7</v>
      </c>
      <c r="H134">
        <v>11962</v>
      </c>
      <c r="I134">
        <v>83734</v>
      </c>
      <c r="J134">
        <v>66987</v>
      </c>
      <c r="K134">
        <v>16747</v>
      </c>
    </row>
    <row r="135" spans="1:11">
      <c r="A135">
        <v>1062</v>
      </c>
      <c r="B135" s="2">
        <v>45719</v>
      </c>
      <c r="C135" s="3" t="s">
        <v>25</v>
      </c>
      <c r="D135" s="3" t="s">
        <v>12</v>
      </c>
      <c r="E135" s="3" t="s">
        <v>27</v>
      </c>
      <c r="F135" s="3" t="s">
        <v>18</v>
      </c>
      <c r="G135">
        <v>7</v>
      </c>
      <c r="H135">
        <v>11994</v>
      </c>
      <c r="I135">
        <v>83958</v>
      </c>
      <c r="J135">
        <v>67166</v>
      </c>
      <c r="K135">
        <v>16792</v>
      </c>
    </row>
    <row r="136" spans="1:11">
      <c r="A136">
        <v>1158</v>
      </c>
      <c r="B136" s="2">
        <v>45815</v>
      </c>
      <c r="C136" s="3" t="s">
        <v>24</v>
      </c>
      <c r="D136" s="3" t="s">
        <v>22</v>
      </c>
      <c r="E136" s="3" t="s">
        <v>28</v>
      </c>
      <c r="F136" s="3" t="s">
        <v>18</v>
      </c>
      <c r="G136">
        <v>7</v>
      </c>
      <c r="H136">
        <v>15032</v>
      </c>
      <c r="I136">
        <v>105224</v>
      </c>
      <c r="J136">
        <v>84179</v>
      </c>
      <c r="K136">
        <v>21045</v>
      </c>
    </row>
    <row r="137" spans="1:11">
      <c r="A137">
        <v>1055</v>
      </c>
      <c r="B137" s="2">
        <v>45712</v>
      </c>
      <c r="C137" s="3" t="s">
        <v>24</v>
      </c>
      <c r="D137" s="3" t="s">
        <v>26</v>
      </c>
      <c r="E137" s="3" t="s">
        <v>29</v>
      </c>
      <c r="F137" s="3" t="s">
        <v>18</v>
      </c>
      <c r="G137">
        <v>7</v>
      </c>
      <c r="H137">
        <v>24944</v>
      </c>
      <c r="I137">
        <v>174608</v>
      </c>
      <c r="J137">
        <v>139686</v>
      </c>
      <c r="K137">
        <v>34922</v>
      </c>
    </row>
    <row r="138" spans="1:11">
      <c r="A138">
        <v>1069</v>
      </c>
      <c r="B138" s="2">
        <v>45726</v>
      </c>
      <c r="C138" s="3" t="s">
        <v>24</v>
      </c>
      <c r="D138" s="3" t="s">
        <v>26</v>
      </c>
      <c r="E138" s="3" t="s">
        <v>29</v>
      </c>
      <c r="F138" s="3" t="s">
        <v>18</v>
      </c>
      <c r="G138">
        <v>7</v>
      </c>
      <c r="H138">
        <v>25184</v>
      </c>
      <c r="I138">
        <v>176288</v>
      </c>
      <c r="J138">
        <v>141030</v>
      </c>
      <c r="K138">
        <v>35258</v>
      </c>
    </row>
    <row r="139" spans="1:11">
      <c r="A139">
        <v>1037</v>
      </c>
      <c r="B139" s="2">
        <v>45694</v>
      </c>
      <c r="C139" s="3" t="s">
        <v>21</v>
      </c>
      <c r="D139" s="3" t="s">
        <v>16</v>
      </c>
      <c r="E139" s="3" t="s">
        <v>17</v>
      </c>
      <c r="F139" s="3" t="s">
        <v>18</v>
      </c>
      <c r="G139">
        <v>7</v>
      </c>
      <c r="H139">
        <v>49804</v>
      </c>
      <c r="I139">
        <v>348628</v>
      </c>
      <c r="J139">
        <v>278902</v>
      </c>
      <c r="K139">
        <v>69726</v>
      </c>
    </row>
    <row r="140" spans="1:11">
      <c r="A140">
        <v>1124</v>
      </c>
      <c r="B140" s="2">
        <v>45781</v>
      </c>
      <c r="C140" s="3" t="s">
        <v>24</v>
      </c>
      <c r="D140" s="3" t="s">
        <v>19</v>
      </c>
      <c r="E140" s="3" t="s">
        <v>20</v>
      </c>
      <c r="F140" s="3" t="s">
        <v>14</v>
      </c>
      <c r="G140">
        <v>8</v>
      </c>
      <c r="H140">
        <v>626</v>
      </c>
      <c r="I140">
        <v>5008</v>
      </c>
      <c r="J140">
        <v>4006</v>
      </c>
      <c r="K140">
        <v>1002</v>
      </c>
    </row>
    <row r="141" spans="1:11">
      <c r="A141">
        <v>1054</v>
      </c>
      <c r="B141" s="2">
        <v>45711</v>
      </c>
      <c r="C141" s="3" t="s">
        <v>11</v>
      </c>
      <c r="D141" s="3" t="s">
        <v>12</v>
      </c>
      <c r="E141" s="3" t="s">
        <v>20</v>
      </c>
      <c r="F141" s="3" t="s">
        <v>14</v>
      </c>
      <c r="G141">
        <v>8</v>
      </c>
      <c r="H141">
        <v>658</v>
      </c>
      <c r="I141">
        <v>5264</v>
      </c>
      <c r="J141">
        <v>4211</v>
      </c>
      <c r="K141">
        <v>1053</v>
      </c>
    </row>
    <row r="142" spans="1:11">
      <c r="A142">
        <v>1084</v>
      </c>
      <c r="B142" s="2">
        <v>45741</v>
      </c>
      <c r="C142" s="3" t="s">
        <v>21</v>
      </c>
      <c r="D142" s="3" t="s">
        <v>15</v>
      </c>
      <c r="E142" s="3" t="s">
        <v>20</v>
      </c>
      <c r="F142" s="3" t="s">
        <v>14</v>
      </c>
      <c r="G142">
        <v>8</v>
      </c>
      <c r="H142">
        <v>701</v>
      </c>
      <c r="I142">
        <v>5608</v>
      </c>
      <c r="J142">
        <v>4486</v>
      </c>
      <c r="K142">
        <v>1122</v>
      </c>
    </row>
    <row r="143" spans="1:11">
      <c r="A143">
        <v>1190</v>
      </c>
      <c r="B143" s="2">
        <v>45847</v>
      </c>
      <c r="C143" s="3" t="s">
        <v>21</v>
      </c>
      <c r="D143" s="3" t="s">
        <v>12</v>
      </c>
      <c r="E143" s="3" t="s">
        <v>13</v>
      </c>
      <c r="F143" s="3" t="s">
        <v>14</v>
      </c>
      <c r="G143">
        <v>8</v>
      </c>
      <c r="H143">
        <v>1057</v>
      </c>
      <c r="I143">
        <v>8456</v>
      </c>
      <c r="J143">
        <v>6764</v>
      </c>
      <c r="K143">
        <v>1692</v>
      </c>
    </row>
    <row r="144" spans="1:11">
      <c r="A144">
        <v>1185</v>
      </c>
      <c r="B144" s="2">
        <v>45842</v>
      </c>
      <c r="C144" s="3" t="s">
        <v>11</v>
      </c>
      <c r="D144" s="3" t="s">
        <v>15</v>
      </c>
      <c r="E144" s="3" t="s">
        <v>13</v>
      </c>
      <c r="F144" s="3" t="s">
        <v>14</v>
      </c>
      <c r="G144">
        <v>8</v>
      </c>
      <c r="H144">
        <v>1113</v>
      </c>
      <c r="I144">
        <v>8904</v>
      </c>
      <c r="J144">
        <v>7123</v>
      </c>
      <c r="K144">
        <v>1781</v>
      </c>
    </row>
    <row r="145" spans="1:11">
      <c r="A145">
        <v>1136</v>
      </c>
      <c r="B145" s="2">
        <v>45793</v>
      </c>
      <c r="C145" s="3" t="s">
        <v>21</v>
      </c>
      <c r="D145" s="3" t="s">
        <v>22</v>
      </c>
      <c r="E145" s="3" t="s">
        <v>13</v>
      </c>
      <c r="F145" s="3" t="s">
        <v>14</v>
      </c>
      <c r="G145">
        <v>8</v>
      </c>
      <c r="H145">
        <v>1133</v>
      </c>
      <c r="I145">
        <v>9064</v>
      </c>
      <c r="J145">
        <v>7251</v>
      </c>
      <c r="K145">
        <v>1813</v>
      </c>
    </row>
    <row r="146" spans="1:11">
      <c r="A146">
        <v>1002</v>
      </c>
      <c r="B146" s="2">
        <v>45659</v>
      </c>
      <c r="C146" s="3" t="s">
        <v>11</v>
      </c>
      <c r="D146" s="3" t="s">
        <v>15</v>
      </c>
      <c r="E146" s="3" t="s">
        <v>13</v>
      </c>
      <c r="F146" s="3" t="s">
        <v>14</v>
      </c>
      <c r="G146">
        <v>8</v>
      </c>
      <c r="H146">
        <v>1179</v>
      </c>
      <c r="I146">
        <v>9432</v>
      </c>
      <c r="J146">
        <v>7545</v>
      </c>
      <c r="K146">
        <v>1887</v>
      </c>
    </row>
    <row r="147" spans="1:11">
      <c r="A147">
        <v>1161</v>
      </c>
      <c r="B147" s="2">
        <v>45818</v>
      </c>
      <c r="C147" s="3" t="s">
        <v>24</v>
      </c>
      <c r="D147" s="3" t="s">
        <v>12</v>
      </c>
      <c r="E147" s="3" t="s">
        <v>13</v>
      </c>
      <c r="F147" s="3" t="s">
        <v>14</v>
      </c>
      <c r="G147">
        <v>8</v>
      </c>
      <c r="H147">
        <v>1271</v>
      </c>
      <c r="I147">
        <v>10168</v>
      </c>
      <c r="J147">
        <v>8134</v>
      </c>
      <c r="K147">
        <v>2034</v>
      </c>
    </row>
    <row r="148" spans="1:11">
      <c r="A148">
        <v>1113</v>
      </c>
      <c r="B148" s="2">
        <v>45770</v>
      </c>
      <c r="C148" s="3" t="s">
        <v>11</v>
      </c>
      <c r="D148" s="3" t="s">
        <v>15</v>
      </c>
      <c r="E148" s="3" t="s">
        <v>23</v>
      </c>
      <c r="F148" s="3" t="s">
        <v>14</v>
      </c>
      <c r="G148">
        <v>8</v>
      </c>
      <c r="H148">
        <v>2883</v>
      </c>
      <c r="I148">
        <v>23064</v>
      </c>
      <c r="J148">
        <v>18451</v>
      </c>
      <c r="K148">
        <v>4613</v>
      </c>
    </row>
    <row r="149" spans="1:11">
      <c r="A149">
        <v>1177</v>
      </c>
      <c r="B149" s="2">
        <v>45834</v>
      </c>
      <c r="C149" s="3" t="s">
        <v>11</v>
      </c>
      <c r="D149" s="3" t="s">
        <v>16</v>
      </c>
      <c r="E149" s="3" t="s">
        <v>23</v>
      </c>
      <c r="F149" s="3" t="s">
        <v>14</v>
      </c>
      <c r="G149">
        <v>8</v>
      </c>
      <c r="H149">
        <v>2926</v>
      </c>
      <c r="I149">
        <v>23408</v>
      </c>
      <c r="J149">
        <v>18726</v>
      </c>
      <c r="K149">
        <v>4682</v>
      </c>
    </row>
    <row r="150" spans="1:11">
      <c r="A150">
        <v>1168</v>
      </c>
      <c r="B150" s="2">
        <v>45825</v>
      </c>
      <c r="C150" s="3" t="s">
        <v>25</v>
      </c>
      <c r="D150" s="3" t="s">
        <v>19</v>
      </c>
      <c r="E150" s="3" t="s">
        <v>23</v>
      </c>
      <c r="F150" s="3" t="s">
        <v>14</v>
      </c>
      <c r="G150">
        <v>8</v>
      </c>
      <c r="H150">
        <v>3071</v>
      </c>
      <c r="I150">
        <v>24568</v>
      </c>
      <c r="J150">
        <v>19654</v>
      </c>
      <c r="K150">
        <v>4914</v>
      </c>
    </row>
    <row r="151" spans="1:11">
      <c r="A151">
        <v>1195</v>
      </c>
      <c r="B151" s="2">
        <v>45852</v>
      </c>
      <c r="C151" s="3" t="s">
        <v>11</v>
      </c>
      <c r="D151" s="3" t="s">
        <v>26</v>
      </c>
      <c r="E151" s="3" t="s">
        <v>23</v>
      </c>
      <c r="F151" s="3" t="s">
        <v>14</v>
      </c>
      <c r="G151">
        <v>8</v>
      </c>
      <c r="H151">
        <v>3071</v>
      </c>
      <c r="I151">
        <v>24568</v>
      </c>
      <c r="J151">
        <v>19654</v>
      </c>
      <c r="K151">
        <v>4914</v>
      </c>
    </row>
    <row r="152" spans="1:11">
      <c r="A152">
        <v>1145</v>
      </c>
      <c r="B152" s="2">
        <v>45802</v>
      </c>
      <c r="C152" s="3" t="s">
        <v>11</v>
      </c>
      <c r="D152" s="3" t="s">
        <v>19</v>
      </c>
      <c r="E152" s="3" t="s">
        <v>27</v>
      </c>
      <c r="F152" s="3" t="s">
        <v>18</v>
      </c>
      <c r="G152">
        <v>8</v>
      </c>
      <c r="H152">
        <v>11888</v>
      </c>
      <c r="I152">
        <v>95104</v>
      </c>
      <c r="J152">
        <v>76083</v>
      </c>
      <c r="K152">
        <v>19021</v>
      </c>
    </row>
    <row r="153" spans="1:11">
      <c r="A153">
        <v>1114</v>
      </c>
      <c r="B153" s="2">
        <v>45771</v>
      </c>
      <c r="C153" s="3" t="s">
        <v>11</v>
      </c>
      <c r="D153" s="3" t="s">
        <v>16</v>
      </c>
      <c r="E153" s="3" t="s">
        <v>27</v>
      </c>
      <c r="F153" s="3" t="s">
        <v>18</v>
      </c>
      <c r="G153">
        <v>8</v>
      </c>
      <c r="H153">
        <v>12132</v>
      </c>
      <c r="I153">
        <v>97056</v>
      </c>
      <c r="J153">
        <v>77644</v>
      </c>
      <c r="K153">
        <v>19412</v>
      </c>
    </row>
    <row r="154" spans="1:11">
      <c r="A154">
        <v>1198</v>
      </c>
      <c r="B154" s="2">
        <v>45855</v>
      </c>
      <c r="C154" s="3" t="s">
        <v>25</v>
      </c>
      <c r="D154" s="3" t="s">
        <v>15</v>
      </c>
      <c r="E154" s="3" t="s">
        <v>28</v>
      </c>
      <c r="F154" s="3" t="s">
        <v>18</v>
      </c>
      <c r="G154">
        <v>8</v>
      </c>
      <c r="H154">
        <v>14819</v>
      </c>
      <c r="I154">
        <v>118552</v>
      </c>
      <c r="J154">
        <v>94841</v>
      </c>
      <c r="K154">
        <v>23711</v>
      </c>
    </row>
    <row r="155" spans="1:11">
      <c r="A155">
        <v>1044</v>
      </c>
      <c r="B155" s="2">
        <v>45701</v>
      </c>
      <c r="C155" s="3" t="s">
        <v>11</v>
      </c>
      <c r="D155" s="3" t="s">
        <v>19</v>
      </c>
      <c r="E155" s="3" t="s">
        <v>28</v>
      </c>
      <c r="F155" s="3" t="s">
        <v>18</v>
      </c>
      <c r="G155">
        <v>8</v>
      </c>
      <c r="H155">
        <v>14924</v>
      </c>
      <c r="I155">
        <v>119392</v>
      </c>
      <c r="J155">
        <v>95513</v>
      </c>
      <c r="K155">
        <v>23879</v>
      </c>
    </row>
    <row r="156" spans="1:11">
      <c r="A156">
        <v>1105</v>
      </c>
      <c r="B156" s="2">
        <v>45762</v>
      </c>
      <c r="C156" s="3" t="s">
        <v>11</v>
      </c>
      <c r="D156" s="3" t="s">
        <v>22</v>
      </c>
      <c r="E156" s="3" t="s">
        <v>28</v>
      </c>
      <c r="F156" s="3" t="s">
        <v>18</v>
      </c>
      <c r="G156">
        <v>8</v>
      </c>
      <c r="H156">
        <v>14976</v>
      </c>
      <c r="I156">
        <v>119808</v>
      </c>
      <c r="J156">
        <v>95846</v>
      </c>
      <c r="K156">
        <v>23962</v>
      </c>
    </row>
    <row r="157" spans="1:11">
      <c r="A157">
        <v>1181</v>
      </c>
      <c r="B157" s="2">
        <v>45838</v>
      </c>
      <c r="C157" s="3" t="s">
        <v>24</v>
      </c>
      <c r="D157" s="3" t="s">
        <v>15</v>
      </c>
      <c r="E157" s="3" t="s">
        <v>28</v>
      </c>
      <c r="F157" s="3" t="s">
        <v>18</v>
      </c>
      <c r="G157">
        <v>8</v>
      </c>
      <c r="H157">
        <v>15016</v>
      </c>
      <c r="I157">
        <v>120128</v>
      </c>
      <c r="J157">
        <v>96102</v>
      </c>
      <c r="K157">
        <v>24026</v>
      </c>
    </row>
    <row r="158" spans="1:11">
      <c r="A158">
        <v>1032</v>
      </c>
      <c r="B158" s="2">
        <v>45689</v>
      </c>
      <c r="C158" s="3" t="s">
        <v>21</v>
      </c>
      <c r="D158" s="3" t="s">
        <v>22</v>
      </c>
      <c r="E158" s="3" t="s">
        <v>28</v>
      </c>
      <c r="F158" s="3" t="s">
        <v>18</v>
      </c>
      <c r="G158">
        <v>8</v>
      </c>
      <c r="H158">
        <v>15176</v>
      </c>
      <c r="I158">
        <v>121408</v>
      </c>
      <c r="J158">
        <v>97126</v>
      </c>
      <c r="K158">
        <v>24282</v>
      </c>
    </row>
    <row r="159" spans="1:11">
      <c r="A159">
        <v>1059</v>
      </c>
      <c r="B159" s="2">
        <v>45716</v>
      </c>
      <c r="C159" s="3" t="s">
        <v>11</v>
      </c>
      <c r="D159" s="3" t="s">
        <v>12</v>
      </c>
      <c r="E159" s="3" t="s">
        <v>29</v>
      </c>
      <c r="F159" s="3" t="s">
        <v>18</v>
      </c>
      <c r="G159">
        <v>8</v>
      </c>
      <c r="H159">
        <v>24863</v>
      </c>
      <c r="I159">
        <v>198904</v>
      </c>
      <c r="J159">
        <v>159123</v>
      </c>
      <c r="K159">
        <v>39781</v>
      </c>
    </row>
    <row r="160" spans="1:11">
      <c r="A160">
        <v>1070</v>
      </c>
      <c r="B160" s="2">
        <v>45727</v>
      </c>
      <c r="C160" s="3" t="s">
        <v>21</v>
      </c>
      <c r="D160" s="3" t="s">
        <v>15</v>
      </c>
      <c r="E160" s="3" t="s">
        <v>29</v>
      </c>
      <c r="F160" s="3" t="s">
        <v>18</v>
      </c>
      <c r="G160">
        <v>8</v>
      </c>
      <c r="H160">
        <v>24898</v>
      </c>
      <c r="I160">
        <v>199184</v>
      </c>
      <c r="J160">
        <v>159347</v>
      </c>
      <c r="K160">
        <v>39837</v>
      </c>
    </row>
    <row r="161" spans="1:11">
      <c r="A161">
        <v>1148</v>
      </c>
      <c r="B161" s="2">
        <v>45805</v>
      </c>
      <c r="C161" s="3" t="s">
        <v>11</v>
      </c>
      <c r="D161" s="3" t="s">
        <v>19</v>
      </c>
      <c r="E161" s="3" t="s">
        <v>29</v>
      </c>
      <c r="F161" s="3" t="s">
        <v>18</v>
      </c>
      <c r="G161">
        <v>8</v>
      </c>
      <c r="H161">
        <v>24935</v>
      </c>
      <c r="I161">
        <v>199480</v>
      </c>
      <c r="J161">
        <v>159584</v>
      </c>
      <c r="K161">
        <v>39896</v>
      </c>
    </row>
    <row r="162" spans="1:11">
      <c r="A162">
        <v>1102</v>
      </c>
      <c r="B162" s="2">
        <v>45759</v>
      </c>
      <c r="C162" s="3" t="s">
        <v>21</v>
      </c>
      <c r="D162" s="3" t="s">
        <v>26</v>
      </c>
      <c r="E162" s="3" t="s">
        <v>29</v>
      </c>
      <c r="F162" s="3" t="s">
        <v>18</v>
      </c>
      <c r="G162">
        <v>8</v>
      </c>
      <c r="H162">
        <v>25051</v>
      </c>
      <c r="I162">
        <v>200408</v>
      </c>
      <c r="J162">
        <v>160326</v>
      </c>
      <c r="K162">
        <v>40082</v>
      </c>
    </row>
    <row r="163" spans="1:11">
      <c r="A163">
        <v>1003</v>
      </c>
      <c r="B163" s="2">
        <v>45660</v>
      </c>
      <c r="C163" s="3" t="s">
        <v>11</v>
      </c>
      <c r="D163" s="3" t="s">
        <v>16</v>
      </c>
      <c r="E163" s="3" t="s">
        <v>17</v>
      </c>
      <c r="F163" s="3" t="s">
        <v>18</v>
      </c>
      <c r="G163">
        <v>8</v>
      </c>
      <c r="H163">
        <v>50061</v>
      </c>
      <c r="I163">
        <v>400488</v>
      </c>
      <c r="J163">
        <v>320390</v>
      </c>
      <c r="K163">
        <v>80098</v>
      </c>
    </row>
    <row r="164" spans="1:11">
      <c r="A164">
        <v>1160</v>
      </c>
      <c r="B164" s="2">
        <v>45817</v>
      </c>
      <c r="C164" s="3" t="s">
        <v>11</v>
      </c>
      <c r="D164" s="3" t="s">
        <v>12</v>
      </c>
      <c r="E164" s="3" t="s">
        <v>17</v>
      </c>
      <c r="F164" s="3" t="s">
        <v>18</v>
      </c>
      <c r="G164">
        <v>8</v>
      </c>
      <c r="H164">
        <v>50199</v>
      </c>
      <c r="I164">
        <v>401592</v>
      </c>
      <c r="J164">
        <v>321273</v>
      </c>
      <c r="K164">
        <v>80319</v>
      </c>
    </row>
    <row r="165" spans="1:11">
      <c r="A165">
        <v>1197</v>
      </c>
      <c r="B165" s="2">
        <v>45854</v>
      </c>
      <c r="C165" s="3" t="s">
        <v>24</v>
      </c>
      <c r="D165" s="3" t="s">
        <v>26</v>
      </c>
      <c r="E165" s="3" t="s">
        <v>20</v>
      </c>
      <c r="F165" s="3" t="s">
        <v>14</v>
      </c>
      <c r="G165">
        <v>9</v>
      </c>
      <c r="H165">
        <v>627</v>
      </c>
      <c r="I165">
        <v>5643</v>
      </c>
      <c r="J165">
        <v>4514</v>
      </c>
      <c r="K165">
        <v>1129</v>
      </c>
    </row>
    <row r="166" spans="1:11">
      <c r="A166">
        <v>1112</v>
      </c>
      <c r="B166" s="2">
        <v>45769</v>
      </c>
      <c r="C166" s="3" t="s">
        <v>25</v>
      </c>
      <c r="D166" s="3" t="s">
        <v>19</v>
      </c>
      <c r="E166" s="3" t="s">
        <v>20</v>
      </c>
      <c r="F166" s="3" t="s">
        <v>14</v>
      </c>
      <c r="G166">
        <v>9</v>
      </c>
      <c r="H166">
        <v>637</v>
      </c>
      <c r="I166">
        <v>5733</v>
      </c>
      <c r="J166">
        <v>4586</v>
      </c>
      <c r="K166">
        <v>1147</v>
      </c>
    </row>
    <row r="167" spans="1:11">
      <c r="A167">
        <v>1021</v>
      </c>
      <c r="B167" s="2">
        <v>45678</v>
      </c>
      <c r="C167" s="3" t="s">
        <v>21</v>
      </c>
      <c r="D167" s="3" t="s">
        <v>22</v>
      </c>
      <c r="E167" s="3" t="s">
        <v>20</v>
      </c>
      <c r="F167" s="3" t="s">
        <v>14</v>
      </c>
      <c r="G167">
        <v>9</v>
      </c>
      <c r="H167">
        <v>675</v>
      </c>
      <c r="I167">
        <v>6075</v>
      </c>
      <c r="J167">
        <v>4860</v>
      </c>
      <c r="K167">
        <v>1215</v>
      </c>
    </row>
    <row r="168" spans="1:11">
      <c r="A168">
        <v>1146</v>
      </c>
      <c r="B168" s="2">
        <v>45803</v>
      </c>
      <c r="C168" s="3" t="s">
        <v>24</v>
      </c>
      <c r="D168" s="3" t="s">
        <v>12</v>
      </c>
      <c r="E168" s="3" t="s">
        <v>20</v>
      </c>
      <c r="F168" s="3" t="s">
        <v>14</v>
      </c>
      <c r="G168">
        <v>9</v>
      </c>
      <c r="H168">
        <v>849</v>
      </c>
      <c r="I168">
        <v>7641</v>
      </c>
      <c r="J168">
        <v>6112</v>
      </c>
      <c r="K168">
        <v>1529</v>
      </c>
    </row>
    <row r="169" spans="1:11">
      <c r="A169">
        <v>1045</v>
      </c>
      <c r="B169" s="2">
        <v>45702</v>
      </c>
      <c r="C169" s="3" t="s">
        <v>11</v>
      </c>
      <c r="D169" s="3" t="s">
        <v>26</v>
      </c>
      <c r="E169" s="3" t="s">
        <v>23</v>
      </c>
      <c r="F169" s="3" t="s">
        <v>14</v>
      </c>
      <c r="G169">
        <v>9</v>
      </c>
      <c r="H169">
        <v>3077</v>
      </c>
      <c r="I169">
        <v>27693</v>
      </c>
      <c r="J169">
        <v>22154</v>
      </c>
      <c r="K169">
        <v>5539</v>
      </c>
    </row>
    <row r="170" spans="1:11">
      <c r="A170">
        <v>1131</v>
      </c>
      <c r="B170" s="2">
        <v>45788</v>
      </c>
      <c r="C170" s="3" t="s">
        <v>11</v>
      </c>
      <c r="D170" s="3" t="s">
        <v>19</v>
      </c>
      <c r="E170" s="3" t="s">
        <v>23</v>
      </c>
      <c r="F170" s="3" t="s">
        <v>14</v>
      </c>
      <c r="G170">
        <v>9</v>
      </c>
      <c r="H170">
        <v>3103</v>
      </c>
      <c r="I170">
        <v>27927</v>
      </c>
      <c r="J170">
        <v>22341</v>
      </c>
      <c r="K170">
        <v>5586</v>
      </c>
    </row>
    <row r="171" spans="1:11">
      <c r="A171">
        <v>1179</v>
      </c>
      <c r="B171" s="2">
        <v>45836</v>
      </c>
      <c r="C171" s="3" t="s">
        <v>21</v>
      </c>
      <c r="D171" s="3" t="s">
        <v>19</v>
      </c>
      <c r="E171" s="3" t="s">
        <v>27</v>
      </c>
      <c r="F171" s="3" t="s">
        <v>18</v>
      </c>
      <c r="G171">
        <v>9</v>
      </c>
      <c r="H171">
        <v>12028</v>
      </c>
      <c r="I171">
        <v>108252</v>
      </c>
      <c r="J171">
        <v>86601</v>
      </c>
      <c r="K171">
        <v>21651</v>
      </c>
    </row>
    <row r="172" spans="1:11">
      <c r="A172">
        <v>1012</v>
      </c>
      <c r="B172" s="2">
        <v>45669</v>
      </c>
      <c r="C172" s="3" t="s">
        <v>11</v>
      </c>
      <c r="D172" s="3" t="s">
        <v>15</v>
      </c>
      <c r="E172" s="3" t="s">
        <v>27</v>
      </c>
      <c r="F172" s="3" t="s">
        <v>18</v>
      </c>
      <c r="G172">
        <v>9</v>
      </c>
      <c r="H172">
        <v>12198</v>
      </c>
      <c r="I172">
        <v>109782</v>
      </c>
      <c r="J172">
        <v>87825</v>
      </c>
      <c r="K172">
        <v>21957</v>
      </c>
    </row>
    <row r="173" spans="1:11">
      <c r="A173">
        <v>1178</v>
      </c>
      <c r="B173" s="2">
        <v>45835</v>
      </c>
      <c r="C173" s="3" t="s">
        <v>24</v>
      </c>
      <c r="D173" s="3" t="s">
        <v>22</v>
      </c>
      <c r="E173" s="3" t="s">
        <v>28</v>
      </c>
      <c r="F173" s="3" t="s">
        <v>18</v>
      </c>
      <c r="G173">
        <v>9</v>
      </c>
      <c r="H173">
        <v>14998</v>
      </c>
      <c r="I173">
        <v>134982</v>
      </c>
      <c r="J173">
        <v>107985</v>
      </c>
      <c r="K173">
        <v>26997</v>
      </c>
    </row>
    <row r="174" spans="1:11">
      <c r="A174">
        <v>1051</v>
      </c>
      <c r="B174" s="2">
        <v>45708</v>
      </c>
      <c r="C174" s="3" t="s">
        <v>24</v>
      </c>
      <c r="D174" s="3" t="s">
        <v>12</v>
      </c>
      <c r="E174" s="3" t="s">
        <v>29</v>
      </c>
      <c r="F174" s="3" t="s">
        <v>18</v>
      </c>
      <c r="G174">
        <v>9</v>
      </c>
      <c r="H174">
        <v>24945</v>
      </c>
      <c r="I174">
        <v>224505</v>
      </c>
      <c r="J174">
        <v>179604</v>
      </c>
      <c r="K174">
        <v>44901</v>
      </c>
    </row>
    <row r="175" spans="1:11">
      <c r="A175">
        <v>1029</v>
      </c>
      <c r="B175" s="2">
        <v>45686</v>
      </c>
      <c r="C175" s="3" t="s">
        <v>21</v>
      </c>
      <c r="D175" s="3" t="s">
        <v>19</v>
      </c>
      <c r="E175" s="3" t="s">
        <v>17</v>
      </c>
      <c r="F175" s="3" t="s">
        <v>18</v>
      </c>
      <c r="G175">
        <v>9</v>
      </c>
      <c r="H175">
        <v>49865</v>
      </c>
      <c r="I175">
        <v>448785</v>
      </c>
      <c r="J175">
        <v>359028</v>
      </c>
      <c r="K175">
        <v>89757</v>
      </c>
    </row>
    <row r="176" spans="1:11">
      <c r="A176">
        <v>1152</v>
      </c>
      <c r="B176" s="2">
        <v>45809</v>
      </c>
      <c r="C176" s="3" t="s">
        <v>24</v>
      </c>
      <c r="D176" s="3" t="s">
        <v>16</v>
      </c>
      <c r="E176" s="3" t="s">
        <v>17</v>
      </c>
      <c r="F176" s="3" t="s">
        <v>18</v>
      </c>
      <c r="G176">
        <v>9</v>
      </c>
      <c r="H176">
        <v>50009</v>
      </c>
      <c r="I176">
        <v>450081</v>
      </c>
      <c r="J176">
        <v>360064</v>
      </c>
      <c r="K176">
        <v>90017</v>
      </c>
    </row>
    <row r="177" spans="1:11">
      <c r="A177">
        <v>1156</v>
      </c>
      <c r="B177" s="2">
        <v>45813</v>
      </c>
      <c r="C177" s="3" t="s">
        <v>11</v>
      </c>
      <c r="D177" s="3" t="s">
        <v>15</v>
      </c>
      <c r="E177" s="3" t="s">
        <v>20</v>
      </c>
      <c r="F177" s="3" t="s">
        <v>14</v>
      </c>
      <c r="G177">
        <v>10</v>
      </c>
      <c r="H177">
        <v>632</v>
      </c>
      <c r="I177">
        <v>6320</v>
      </c>
      <c r="J177">
        <v>5056</v>
      </c>
      <c r="K177">
        <v>1264</v>
      </c>
    </row>
    <row r="178" spans="1:11">
      <c r="A178">
        <v>1188</v>
      </c>
      <c r="B178" s="2">
        <v>45845</v>
      </c>
      <c r="C178" s="3" t="s">
        <v>25</v>
      </c>
      <c r="D178" s="3" t="s">
        <v>19</v>
      </c>
      <c r="E178" s="3" t="s">
        <v>20</v>
      </c>
      <c r="F178" s="3" t="s">
        <v>14</v>
      </c>
      <c r="G178">
        <v>10</v>
      </c>
      <c r="H178">
        <v>654</v>
      </c>
      <c r="I178">
        <v>6540</v>
      </c>
      <c r="J178">
        <v>5232</v>
      </c>
      <c r="K178">
        <v>1308</v>
      </c>
    </row>
    <row r="179" spans="1:11">
      <c r="A179">
        <v>1039</v>
      </c>
      <c r="B179" s="2">
        <v>45696</v>
      </c>
      <c r="C179" s="3" t="s">
        <v>25</v>
      </c>
      <c r="D179" s="3" t="s">
        <v>15</v>
      </c>
      <c r="E179" s="3" t="s">
        <v>20</v>
      </c>
      <c r="F179" s="3" t="s">
        <v>14</v>
      </c>
      <c r="G179">
        <v>10</v>
      </c>
      <c r="H179">
        <v>672</v>
      </c>
      <c r="I179">
        <v>6720</v>
      </c>
      <c r="J179">
        <v>5376</v>
      </c>
      <c r="K179">
        <v>1344</v>
      </c>
    </row>
    <row r="180" spans="1:11">
      <c r="A180">
        <v>1030</v>
      </c>
      <c r="B180" s="2">
        <v>45687</v>
      </c>
      <c r="C180" s="3" t="s">
        <v>25</v>
      </c>
      <c r="D180" s="3" t="s">
        <v>26</v>
      </c>
      <c r="E180" s="3" t="s">
        <v>20</v>
      </c>
      <c r="F180" s="3" t="s">
        <v>14</v>
      </c>
      <c r="G180">
        <v>10</v>
      </c>
      <c r="H180">
        <v>682</v>
      </c>
      <c r="I180">
        <v>6820</v>
      </c>
      <c r="J180">
        <v>5456</v>
      </c>
      <c r="K180">
        <v>1364</v>
      </c>
    </row>
    <row r="181" spans="1:11">
      <c r="A181">
        <v>1092</v>
      </c>
      <c r="B181" s="2">
        <v>45749</v>
      </c>
      <c r="C181" s="3" t="s">
        <v>24</v>
      </c>
      <c r="D181" s="3" t="s">
        <v>15</v>
      </c>
      <c r="E181" s="3" t="s">
        <v>20</v>
      </c>
      <c r="F181" s="3" t="s">
        <v>14</v>
      </c>
      <c r="G181">
        <v>10</v>
      </c>
      <c r="H181">
        <v>819</v>
      </c>
      <c r="I181">
        <v>8190</v>
      </c>
      <c r="J181">
        <v>6552</v>
      </c>
      <c r="K181">
        <v>1638</v>
      </c>
    </row>
    <row r="182" spans="1:11">
      <c r="A182">
        <v>1008</v>
      </c>
      <c r="B182" s="2">
        <v>45665</v>
      </c>
      <c r="C182" s="3" t="s">
        <v>25</v>
      </c>
      <c r="D182" s="3" t="s">
        <v>22</v>
      </c>
      <c r="E182" s="3" t="s">
        <v>20</v>
      </c>
      <c r="F182" s="3" t="s">
        <v>14</v>
      </c>
      <c r="G182">
        <v>10</v>
      </c>
      <c r="H182">
        <v>991</v>
      </c>
      <c r="I182">
        <v>9910</v>
      </c>
      <c r="J182">
        <v>7928</v>
      </c>
      <c r="K182">
        <v>1982</v>
      </c>
    </row>
    <row r="183" spans="1:11">
      <c r="A183">
        <v>1093</v>
      </c>
      <c r="B183" s="2">
        <v>45750</v>
      </c>
      <c r="C183" s="3" t="s">
        <v>11</v>
      </c>
      <c r="D183" s="3" t="s">
        <v>12</v>
      </c>
      <c r="E183" s="3" t="s">
        <v>13</v>
      </c>
      <c r="F183" s="3" t="s">
        <v>14</v>
      </c>
      <c r="G183">
        <v>10</v>
      </c>
      <c r="H183">
        <v>1089</v>
      </c>
      <c r="I183">
        <v>10890</v>
      </c>
      <c r="J183">
        <v>8712</v>
      </c>
      <c r="K183">
        <v>2178</v>
      </c>
    </row>
    <row r="184" spans="1:11">
      <c r="A184">
        <v>1155</v>
      </c>
      <c r="B184" s="2">
        <v>45812</v>
      </c>
      <c r="C184" s="3" t="s">
        <v>25</v>
      </c>
      <c r="D184" s="3" t="s">
        <v>19</v>
      </c>
      <c r="E184" s="3" t="s">
        <v>13</v>
      </c>
      <c r="F184" s="3" t="s">
        <v>14</v>
      </c>
      <c r="G184">
        <v>10</v>
      </c>
      <c r="H184">
        <v>1149</v>
      </c>
      <c r="I184">
        <v>11490</v>
      </c>
      <c r="J184">
        <v>9192</v>
      </c>
      <c r="K184">
        <v>2298</v>
      </c>
    </row>
    <row r="185" spans="1:11">
      <c r="A185">
        <v>1196</v>
      </c>
      <c r="B185" s="2">
        <v>45853</v>
      </c>
      <c r="C185" s="3" t="s">
        <v>11</v>
      </c>
      <c r="D185" s="3" t="s">
        <v>22</v>
      </c>
      <c r="E185" s="3" t="s">
        <v>13</v>
      </c>
      <c r="F185" s="3" t="s">
        <v>14</v>
      </c>
      <c r="G185">
        <v>10</v>
      </c>
      <c r="H185">
        <v>1222</v>
      </c>
      <c r="I185">
        <v>12220</v>
      </c>
      <c r="J185">
        <v>9776</v>
      </c>
      <c r="K185">
        <v>2444</v>
      </c>
    </row>
    <row r="186" spans="1:11">
      <c r="A186">
        <v>1162</v>
      </c>
      <c r="B186" s="2">
        <v>45819</v>
      </c>
      <c r="C186" s="3" t="s">
        <v>24</v>
      </c>
      <c r="D186" s="3" t="s">
        <v>22</v>
      </c>
      <c r="E186" s="3" t="s">
        <v>13</v>
      </c>
      <c r="F186" s="3" t="s">
        <v>14</v>
      </c>
      <c r="G186">
        <v>10</v>
      </c>
      <c r="H186">
        <v>1375</v>
      </c>
      <c r="I186">
        <v>13750</v>
      </c>
      <c r="J186">
        <v>11000</v>
      </c>
      <c r="K186">
        <v>2750</v>
      </c>
    </row>
    <row r="187" spans="1:11">
      <c r="A187">
        <v>1096</v>
      </c>
      <c r="B187" s="2">
        <v>45753</v>
      </c>
      <c r="C187" s="3" t="s">
        <v>25</v>
      </c>
      <c r="D187" s="3" t="s">
        <v>22</v>
      </c>
      <c r="E187" s="3" t="s">
        <v>23</v>
      </c>
      <c r="F187" s="3" t="s">
        <v>14</v>
      </c>
      <c r="G187">
        <v>10</v>
      </c>
      <c r="H187">
        <v>2848</v>
      </c>
      <c r="I187">
        <v>28480</v>
      </c>
      <c r="J187">
        <v>22784</v>
      </c>
      <c r="K187">
        <v>5696</v>
      </c>
    </row>
    <row r="188" spans="1:11">
      <c r="A188">
        <v>1038</v>
      </c>
      <c r="B188" s="2">
        <v>45695</v>
      </c>
      <c r="C188" s="3" t="s">
        <v>21</v>
      </c>
      <c r="D188" s="3" t="s">
        <v>15</v>
      </c>
      <c r="E188" s="3" t="s">
        <v>23</v>
      </c>
      <c r="F188" s="3" t="s">
        <v>14</v>
      </c>
      <c r="G188">
        <v>10</v>
      </c>
      <c r="H188">
        <v>2875</v>
      </c>
      <c r="I188">
        <v>28750</v>
      </c>
      <c r="J188">
        <v>23000</v>
      </c>
      <c r="K188">
        <v>5750</v>
      </c>
    </row>
    <row r="189" spans="1:11">
      <c r="A189">
        <v>1106</v>
      </c>
      <c r="B189" s="2">
        <v>45763</v>
      </c>
      <c r="C189" s="3" t="s">
        <v>21</v>
      </c>
      <c r="D189" s="3" t="s">
        <v>15</v>
      </c>
      <c r="E189" s="3" t="s">
        <v>23</v>
      </c>
      <c r="F189" s="3" t="s">
        <v>14</v>
      </c>
      <c r="G189">
        <v>10</v>
      </c>
      <c r="H189">
        <v>2885</v>
      </c>
      <c r="I189">
        <v>28850</v>
      </c>
      <c r="J189">
        <v>23080</v>
      </c>
      <c r="K189">
        <v>5770</v>
      </c>
    </row>
    <row r="190" spans="1:11">
      <c r="A190">
        <v>1157</v>
      </c>
      <c r="B190" s="2">
        <v>45814</v>
      </c>
      <c r="C190" s="3" t="s">
        <v>11</v>
      </c>
      <c r="D190" s="3" t="s">
        <v>19</v>
      </c>
      <c r="E190" s="3" t="s">
        <v>23</v>
      </c>
      <c r="F190" s="3" t="s">
        <v>14</v>
      </c>
      <c r="G190">
        <v>10</v>
      </c>
      <c r="H190">
        <v>2903</v>
      </c>
      <c r="I190">
        <v>29030</v>
      </c>
      <c r="J190">
        <v>23224</v>
      </c>
      <c r="K190">
        <v>5806</v>
      </c>
    </row>
    <row r="191" spans="1:11">
      <c r="A191">
        <v>1174</v>
      </c>
      <c r="B191" s="2">
        <v>45831</v>
      </c>
      <c r="C191" s="3" t="s">
        <v>21</v>
      </c>
      <c r="D191" s="3" t="s">
        <v>22</v>
      </c>
      <c r="E191" s="3" t="s">
        <v>23</v>
      </c>
      <c r="F191" s="3" t="s">
        <v>14</v>
      </c>
      <c r="G191">
        <v>10</v>
      </c>
      <c r="H191">
        <v>3089</v>
      </c>
      <c r="I191">
        <v>30890</v>
      </c>
      <c r="J191">
        <v>24712</v>
      </c>
      <c r="K191">
        <v>6178</v>
      </c>
    </row>
    <row r="192" spans="1:11">
      <c r="A192">
        <v>1076</v>
      </c>
      <c r="B192" s="2">
        <v>45733</v>
      </c>
      <c r="C192" s="3" t="s">
        <v>21</v>
      </c>
      <c r="D192" s="3" t="s">
        <v>19</v>
      </c>
      <c r="E192" s="3" t="s">
        <v>27</v>
      </c>
      <c r="F192" s="3" t="s">
        <v>18</v>
      </c>
      <c r="G192">
        <v>10</v>
      </c>
      <c r="H192">
        <v>12074</v>
      </c>
      <c r="I192">
        <v>120740</v>
      </c>
      <c r="J192">
        <v>96592</v>
      </c>
      <c r="K192">
        <v>24148</v>
      </c>
    </row>
    <row r="193" spans="1:11">
      <c r="A193">
        <v>1017</v>
      </c>
      <c r="B193" s="2">
        <v>45674</v>
      </c>
      <c r="C193" s="3" t="s">
        <v>24</v>
      </c>
      <c r="D193" s="3" t="s">
        <v>26</v>
      </c>
      <c r="E193" s="3" t="s">
        <v>28</v>
      </c>
      <c r="F193" s="3" t="s">
        <v>18</v>
      </c>
      <c r="G193">
        <v>10</v>
      </c>
      <c r="H193">
        <v>15129</v>
      </c>
      <c r="I193">
        <v>151290</v>
      </c>
      <c r="J193">
        <v>121032</v>
      </c>
      <c r="K193">
        <v>30258</v>
      </c>
    </row>
    <row r="194" spans="1:11">
      <c r="A194">
        <v>1109</v>
      </c>
      <c r="B194" s="2">
        <v>45766</v>
      </c>
      <c r="C194" s="3" t="s">
        <v>21</v>
      </c>
      <c r="D194" s="3" t="s">
        <v>22</v>
      </c>
      <c r="E194" s="3" t="s">
        <v>29</v>
      </c>
      <c r="F194" s="3" t="s">
        <v>18</v>
      </c>
      <c r="G194">
        <v>10</v>
      </c>
      <c r="H194">
        <v>24828</v>
      </c>
      <c r="I194">
        <v>248280</v>
      </c>
      <c r="J194">
        <v>198624</v>
      </c>
      <c r="K194">
        <v>49656</v>
      </c>
    </row>
    <row r="195" spans="1:11">
      <c r="A195">
        <v>1073</v>
      </c>
      <c r="B195" s="2">
        <v>45730</v>
      </c>
      <c r="C195" s="3" t="s">
        <v>24</v>
      </c>
      <c r="D195" s="3" t="s">
        <v>22</v>
      </c>
      <c r="E195" s="3" t="s">
        <v>29</v>
      </c>
      <c r="F195" s="3" t="s">
        <v>18</v>
      </c>
      <c r="G195">
        <v>10</v>
      </c>
      <c r="H195">
        <v>24831</v>
      </c>
      <c r="I195">
        <v>248310</v>
      </c>
      <c r="J195">
        <v>198648</v>
      </c>
      <c r="K195">
        <v>49662</v>
      </c>
    </row>
    <row r="196" spans="1:11">
      <c r="A196">
        <v>1133</v>
      </c>
      <c r="B196" s="2">
        <v>45790</v>
      </c>
      <c r="C196" s="3" t="s">
        <v>21</v>
      </c>
      <c r="D196" s="3" t="s">
        <v>19</v>
      </c>
      <c r="E196" s="3" t="s">
        <v>17</v>
      </c>
      <c r="F196" s="3" t="s">
        <v>18</v>
      </c>
      <c r="G196">
        <v>10</v>
      </c>
      <c r="H196">
        <v>49936</v>
      </c>
      <c r="I196">
        <v>499360</v>
      </c>
      <c r="J196">
        <v>399488</v>
      </c>
      <c r="K196">
        <v>99872</v>
      </c>
    </row>
    <row r="197" spans="1:11">
      <c r="A197">
        <v>1087</v>
      </c>
      <c r="B197" s="2">
        <v>45744</v>
      </c>
      <c r="C197" s="3" t="s">
        <v>25</v>
      </c>
      <c r="D197" s="3" t="s">
        <v>15</v>
      </c>
      <c r="E197" s="3" t="s">
        <v>17</v>
      </c>
      <c r="F197" s="3" t="s">
        <v>18</v>
      </c>
      <c r="G197">
        <v>10</v>
      </c>
      <c r="H197">
        <v>49973</v>
      </c>
      <c r="I197">
        <v>499730</v>
      </c>
      <c r="J197">
        <v>399784</v>
      </c>
      <c r="K197">
        <v>99946</v>
      </c>
    </row>
    <row r="198" spans="1:11">
      <c r="A198">
        <v>1183</v>
      </c>
      <c r="B198" s="2">
        <v>45840</v>
      </c>
      <c r="C198" s="3" t="s">
        <v>25</v>
      </c>
      <c r="D198" s="3" t="s">
        <v>15</v>
      </c>
      <c r="E198" s="3" t="s">
        <v>17</v>
      </c>
      <c r="F198" s="3" t="s">
        <v>18</v>
      </c>
      <c r="G198">
        <v>10</v>
      </c>
      <c r="H198">
        <v>49986</v>
      </c>
      <c r="I198">
        <v>499860</v>
      </c>
      <c r="J198">
        <v>399888</v>
      </c>
      <c r="K198">
        <v>99972</v>
      </c>
    </row>
    <row r="199" spans="1:11">
      <c r="A199">
        <v>1173</v>
      </c>
      <c r="B199" s="2">
        <v>45830</v>
      </c>
      <c r="C199" s="3" t="s">
        <v>24</v>
      </c>
      <c r="D199" s="3" t="s">
        <v>19</v>
      </c>
      <c r="E199" s="3" t="s">
        <v>17</v>
      </c>
      <c r="F199" s="3" t="s">
        <v>18</v>
      </c>
      <c r="G199">
        <v>10</v>
      </c>
      <c r="H199">
        <v>50041</v>
      </c>
      <c r="I199">
        <v>500410</v>
      </c>
      <c r="J199">
        <v>400328</v>
      </c>
      <c r="K199">
        <v>100082</v>
      </c>
    </row>
    <row r="200" spans="1:11">
      <c r="A200">
        <v>1117</v>
      </c>
      <c r="B200" s="2">
        <v>45774</v>
      </c>
      <c r="C200" s="3" t="s">
        <v>25</v>
      </c>
      <c r="D200" s="3" t="s">
        <v>16</v>
      </c>
      <c r="E200" s="3" t="s">
        <v>17</v>
      </c>
      <c r="F200" s="3" t="s">
        <v>18</v>
      </c>
      <c r="G200">
        <v>10</v>
      </c>
      <c r="H200">
        <v>50046</v>
      </c>
      <c r="I200">
        <v>500460</v>
      </c>
      <c r="J200">
        <v>400368</v>
      </c>
      <c r="K200">
        <v>100092</v>
      </c>
    </row>
    <row r="201" spans="1:11">
      <c r="A201">
        <v>1072</v>
      </c>
      <c r="B201" s="2">
        <v>45729</v>
      </c>
      <c r="C201" s="3" t="s">
        <v>21</v>
      </c>
      <c r="D201" s="3" t="s">
        <v>19</v>
      </c>
      <c r="E201" s="3" t="s">
        <v>17</v>
      </c>
      <c r="F201" s="3" t="s">
        <v>18</v>
      </c>
      <c r="G201">
        <v>10</v>
      </c>
      <c r="H201">
        <v>50080</v>
      </c>
      <c r="I201">
        <v>500800</v>
      </c>
      <c r="J201">
        <v>400640</v>
      </c>
      <c r="K201">
        <v>100160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0A34-84F4-49D2-8D8F-4343F58ADEA8}">
  <dimension ref="A3:B42"/>
  <sheetViews>
    <sheetView topLeftCell="A23" workbookViewId="0">
      <selection activeCell="N24" sqref="N24"/>
    </sheetView>
  </sheetViews>
  <sheetFormatPr defaultRowHeight="15"/>
  <cols>
    <col min="1" max="1" width="13.140625" bestFit="1" customWidth="1"/>
    <col min="2" max="2" width="12.140625" bestFit="1" customWidth="1"/>
  </cols>
  <sheetData>
    <row r="3" spans="1:2">
      <c r="A3" s="6" t="s">
        <v>50</v>
      </c>
      <c r="B3" t="s">
        <v>52</v>
      </c>
    </row>
    <row r="4" spans="1:2">
      <c r="A4" s="7" t="s">
        <v>11</v>
      </c>
      <c r="B4" s="3">
        <v>3416745</v>
      </c>
    </row>
    <row r="5" spans="1:2">
      <c r="A5" s="7" t="s">
        <v>51</v>
      </c>
      <c r="B5" s="3">
        <v>3416745</v>
      </c>
    </row>
    <row r="15" spans="1:2">
      <c r="A15" s="6" t="s">
        <v>50</v>
      </c>
      <c r="B15" t="s">
        <v>52</v>
      </c>
    </row>
    <row r="16" spans="1:2">
      <c r="A16" s="7" t="s">
        <v>14</v>
      </c>
      <c r="B16" s="3">
        <v>291643</v>
      </c>
    </row>
    <row r="17" spans="1:2">
      <c r="A17" s="7" t="s">
        <v>18</v>
      </c>
      <c r="B17" s="3">
        <v>3125102</v>
      </c>
    </row>
    <row r="18" spans="1:2">
      <c r="A18" s="7" t="s">
        <v>51</v>
      </c>
      <c r="B18" s="3">
        <v>3416745</v>
      </c>
    </row>
    <row r="25" spans="1:2">
      <c r="A25" s="6" t="s">
        <v>50</v>
      </c>
      <c r="B25" t="s">
        <v>52</v>
      </c>
    </row>
    <row r="26" spans="1:2">
      <c r="A26" s="7" t="s">
        <v>31</v>
      </c>
      <c r="B26" s="3">
        <v>854</v>
      </c>
    </row>
    <row r="27" spans="1:2">
      <c r="A27" s="7" t="s">
        <v>12</v>
      </c>
      <c r="B27" s="3">
        <v>727045</v>
      </c>
    </row>
    <row r="28" spans="1:2">
      <c r="A28" s="7" t="s">
        <v>22</v>
      </c>
      <c r="B28" s="3">
        <v>440664</v>
      </c>
    </row>
    <row r="29" spans="1:2">
      <c r="A29" s="7" t="s">
        <v>26</v>
      </c>
      <c r="B29" s="3">
        <v>127003</v>
      </c>
    </row>
    <row r="30" spans="1:2">
      <c r="A30" s="7" t="s">
        <v>15</v>
      </c>
      <c r="B30" s="3">
        <v>611622</v>
      </c>
    </row>
    <row r="31" spans="1:2">
      <c r="A31" s="7" t="s">
        <v>19</v>
      </c>
      <c r="B31" s="3">
        <v>733476</v>
      </c>
    </row>
    <row r="32" spans="1:2">
      <c r="A32" s="7" t="s">
        <v>16</v>
      </c>
      <c r="B32" s="3">
        <v>776081</v>
      </c>
    </row>
    <row r="33" spans="1:2">
      <c r="A33" s="7" t="s">
        <v>51</v>
      </c>
      <c r="B33" s="3">
        <v>3416745</v>
      </c>
    </row>
    <row r="41" spans="1:2">
      <c r="A41" s="6" t="s">
        <v>50</v>
      </c>
      <c r="B41" t="s">
        <v>52</v>
      </c>
    </row>
    <row r="42" spans="1:2">
      <c r="A42" s="7" t="s">
        <v>51</v>
      </c>
      <c r="B42" s="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117A-022D-4512-A9DD-C8B799338028}">
  <dimension ref="A1:K8"/>
  <sheetViews>
    <sheetView showGridLines="0" tabSelected="1" topLeftCell="A30" workbookViewId="0">
      <selection activeCell="A45" sqref="A45"/>
    </sheetView>
  </sheetViews>
  <sheetFormatPr defaultRowHeight="15"/>
  <cols>
    <col min="1" max="1" width="59.5703125" bestFit="1" customWidth="1"/>
    <col min="2" max="2" width="12.7109375" customWidth="1"/>
  </cols>
  <sheetData>
    <row r="1" spans="1:11" ht="26.25">
      <c r="A1" s="8" t="s">
        <v>53</v>
      </c>
      <c r="B1" s="8"/>
      <c r="C1" s="8"/>
      <c r="D1" s="8"/>
      <c r="E1" s="8"/>
      <c r="F1" s="8"/>
      <c r="G1" s="8"/>
      <c r="H1" s="8"/>
      <c r="I1" s="8"/>
      <c r="J1" s="8"/>
      <c r="K1" s="8"/>
    </row>
    <row r="4" spans="1:11">
      <c r="A4" s="10" t="s">
        <v>54</v>
      </c>
      <c r="B4" s="11" t="s">
        <v>55</v>
      </c>
    </row>
    <row r="5" spans="1:11">
      <c r="A5" s="5" t="s">
        <v>40</v>
      </c>
      <c r="B5" s="9">
        <f>SUM(SalesData[Sales])</f>
        <v>15662608</v>
      </c>
    </row>
    <row r="6" spans="1:11">
      <c r="A6" s="5" t="s">
        <v>56</v>
      </c>
      <c r="B6" s="9">
        <f>SUM(SalesData[Profit])</f>
        <v>3132587</v>
      </c>
    </row>
    <row r="7" spans="1:11">
      <c r="A7" s="5" t="s">
        <v>44</v>
      </c>
      <c r="B7" s="9">
        <f>COUNT(SalesData[OrderID])</f>
        <v>200</v>
      </c>
    </row>
    <row r="8" spans="1:11">
      <c r="A8" s="5" t="s">
        <v>41</v>
      </c>
      <c r="B8" s="9">
        <f>AVERAGE(SalesData[Sales])</f>
        <v>78313.039999999994</v>
      </c>
    </row>
  </sheetData>
  <mergeCells count="1">
    <mergeCell ref="A1:K1"/>
  </mergeCells>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opLeftCell="A2" workbookViewId="0">
      <selection activeCell="D7" sqref="D7"/>
    </sheetView>
  </sheetViews>
  <sheetFormatPr defaultRowHeight="15"/>
  <cols>
    <col min="1" max="1" width="10.28515625" bestFit="1" customWidth="1"/>
    <col min="2" max="2" width="17.28515625" bestFit="1" customWidth="1"/>
    <col min="3" max="3" width="9.42578125" bestFit="1" customWidth="1"/>
    <col min="4" max="4" width="14" bestFit="1" customWidth="1"/>
    <col min="5" max="5" width="12.140625" bestFit="1" customWidth="1"/>
    <col min="6" max="6" width="23" customWidth="1"/>
    <col min="7" max="7" width="16.28515625" customWidth="1"/>
    <col min="8" max="8" width="11" bestFit="1" customWidth="1"/>
    <col min="9" max="9" width="11.5703125" bestFit="1" customWidth="1"/>
    <col min="10" max="10" width="11.7109375" customWidth="1"/>
    <col min="11" max="11" width="15.140625" customWidth="1"/>
    <col min="12" max="12" width="13.140625" customWidth="1"/>
    <col min="13" max="13" width="14.7109375" customWidth="1"/>
  </cols>
  <sheetData>
    <row r="1" spans="1:13">
      <c r="A1" t="s">
        <v>0</v>
      </c>
      <c r="B1" t="s">
        <v>1</v>
      </c>
      <c r="C1" t="s">
        <v>2</v>
      </c>
      <c r="D1" t="s">
        <v>3</v>
      </c>
      <c r="E1" t="s">
        <v>4</v>
      </c>
      <c r="F1" t="s">
        <v>49</v>
      </c>
      <c r="G1" t="s">
        <v>5</v>
      </c>
      <c r="H1" t="s">
        <v>6</v>
      </c>
      <c r="I1" t="s">
        <v>7</v>
      </c>
      <c r="J1" t="s">
        <v>8</v>
      </c>
      <c r="K1" t="s">
        <v>9</v>
      </c>
      <c r="L1" t="s">
        <v>10</v>
      </c>
      <c r="M1" t="s">
        <v>30</v>
      </c>
    </row>
    <row r="2" spans="1:13">
      <c r="A2">
        <v>1075</v>
      </c>
      <c r="B2" s="1">
        <v>45732</v>
      </c>
      <c r="C2" t="s">
        <v>11</v>
      </c>
      <c r="D2" t="s">
        <v>31</v>
      </c>
      <c r="E2" t="s">
        <v>20</v>
      </c>
      <c r="F2" t="str">
        <f>INDEX(SalesData[Category],MATCH(SalesData[[#This Row],[Product]],SalesData[Product],0))</f>
        <v>Accessories</v>
      </c>
      <c r="G2" t="s">
        <v>14</v>
      </c>
      <c r="H2">
        <v>1</v>
      </c>
      <c r="I2">
        <v>854</v>
      </c>
      <c r="J2">
        <v>854</v>
      </c>
      <c r="K2">
        <v>683</v>
      </c>
      <c r="L2">
        <v>171</v>
      </c>
      <c r="M2" t="str">
        <f t="shared" ref="M2:M33" si="0">IF(L2&gt;200,"High Profit","Low Profit")</f>
        <v>Low Profit</v>
      </c>
    </row>
    <row r="3" spans="1:13">
      <c r="A3">
        <v>1149</v>
      </c>
      <c r="B3" s="1">
        <v>45806</v>
      </c>
      <c r="C3" t="s">
        <v>24</v>
      </c>
      <c r="D3" t="s">
        <v>22</v>
      </c>
      <c r="E3" t="s">
        <v>39</v>
      </c>
      <c r="F3" t="str">
        <f>INDEX(SalesData[Category],MATCH(SalesData[[#This Row],[Product]],SalesData[Product],0))</f>
        <v>Accessories</v>
      </c>
      <c r="G3" t="s">
        <v>14</v>
      </c>
      <c r="H3">
        <v>1</v>
      </c>
      <c r="I3">
        <v>1102</v>
      </c>
      <c r="J3">
        <v>1102</v>
      </c>
      <c r="K3">
        <v>881</v>
      </c>
      <c r="L3">
        <v>221</v>
      </c>
      <c r="M3" t="str">
        <f t="shared" si="0"/>
        <v>High Profit</v>
      </c>
    </row>
    <row r="4" spans="1:13">
      <c r="A4">
        <v>1099</v>
      </c>
      <c r="B4" s="1">
        <v>45756</v>
      </c>
      <c r="C4" t="s">
        <v>24</v>
      </c>
      <c r="D4" t="s">
        <v>15</v>
      </c>
      <c r="E4" t="s">
        <v>13</v>
      </c>
      <c r="F4" t="str">
        <f>INDEX(SalesData[Category],MATCH(SalesData[[#This Row],[Product]],SalesData[Product],0))</f>
        <v xml:space="preserve">        Accessories</v>
      </c>
      <c r="G4" t="s">
        <v>37</v>
      </c>
      <c r="H4">
        <v>1</v>
      </c>
      <c r="I4">
        <v>1157</v>
      </c>
      <c r="J4">
        <v>1157</v>
      </c>
      <c r="K4">
        <v>925</v>
      </c>
      <c r="L4">
        <v>232</v>
      </c>
      <c r="M4" t="str">
        <f t="shared" si="0"/>
        <v>High Profit</v>
      </c>
    </row>
    <row r="5" spans="1:13">
      <c r="A5">
        <v>1118</v>
      </c>
      <c r="B5" s="1">
        <v>45775</v>
      </c>
      <c r="C5" t="s">
        <v>24</v>
      </c>
      <c r="D5" t="s">
        <v>32</v>
      </c>
      <c r="E5" t="s">
        <v>13</v>
      </c>
      <c r="F5" t="str">
        <f>INDEX(SalesData[Category],MATCH(SalesData[[#This Row],[Product]],SalesData[Product],0))</f>
        <v xml:space="preserve">        Accessories</v>
      </c>
      <c r="G5" t="s">
        <v>14</v>
      </c>
      <c r="H5">
        <v>1</v>
      </c>
      <c r="I5">
        <v>1198</v>
      </c>
      <c r="J5">
        <v>1198</v>
      </c>
      <c r="K5">
        <v>958</v>
      </c>
      <c r="L5">
        <v>240</v>
      </c>
      <c r="M5" t="str">
        <f t="shared" si="0"/>
        <v>High Profit</v>
      </c>
    </row>
    <row r="6" spans="1:13">
      <c r="A6">
        <v>1067</v>
      </c>
      <c r="B6" s="1">
        <v>45724</v>
      </c>
      <c r="C6" t="s">
        <v>24</v>
      </c>
      <c r="D6" t="s">
        <v>12</v>
      </c>
      <c r="E6" t="s">
        <v>13</v>
      </c>
      <c r="F6" t="str">
        <f>INDEX(SalesData[Category],MATCH(SalesData[[#This Row],[Product]],SalesData[Product],0))</f>
        <v xml:space="preserve">        Accessories</v>
      </c>
      <c r="G6" t="s">
        <v>14</v>
      </c>
      <c r="H6">
        <v>1</v>
      </c>
      <c r="I6">
        <v>1291</v>
      </c>
      <c r="J6">
        <v>1291</v>
      </c>
      <c r="K6">
        <v>1032</v>
      </c>
      <c r="L6">
        <v>259</v>
      </c>
      <c r="M6" t="str">
        <f t="shared" si="0"/>
        <v>High Profit</v>
      </c>
    </row>
    <row r="7" spans="1:13">
      <c r="A7">
        <v>1144</v>
      </c>
      <c r="B7" s="1">
        <v>45801</v>
      </c>
      <c r="C7" t="s">
        <v>21</v>
      </c>
      <c r="D7" t="s">
        <v>12</v>
      </c>
      <c r="E7" t="s">
        <v>13</v>
      </c>
      <c r="F7" t="str">
        <f>INDEX(SalesData[Category],MATCH(SalesData[[#This Row],[Product]],SalesData[Product],0))</f>
        <v xml:space="preserve">        Accessories</v>
      </c>
      <c r="G7" t="s">
        <v>14</v>
      </c>
      <c r="H7">
        <v>1</v>
      </c>
      <c r="I7">
        <v>1370</v>
      </c>
      <c r="J7">
        <v>1370</v>
      </c>
      <c r="K7">
        <v>1096</v>
      </c>
      <c r="L7">
        <v>274</v>
      </c>
      <c r="M7" t="str">
        <f t="shared" si="0"/>
        <v>High Profit</v>
      </c>
    </row>
    <row r="8" spans="1:13">
      <c r="A8">
        <v>1089</v>
      </c>
      <c r="B8" s="1">
        <v>45746</v>
      </c>
      <c r="C8" t="s">
        <v>24</v>
      </c>
      <c r="D8" t="s">
        <v>33</v>
      </c>
      <c r="E8" t="s">
        <v>23</v>
      </c>
      <c r="F8" t="str">
        <f>INDEX(SalesData[Category],MATCH(SalesData[[#This Row],[Product]],SalesData[Product],0))</f>
        <v>Accessories</v>
      </c>
      <c r="G8" t="s">
        <v>14</v>
      </c>
      <c r="H8">
        <v>1</v>
      </c>
      <c r="I8">
        <v>2827</v>
      </c>
      <c r="J8">
        <v>2827</v>
      </c>
      <c r="K8">
        <v>2261</v>
      </c>
      <c r="L8">
        <v>566</v>
      </c>
      <c r="M8" t="str">
        <f t="shared" si="0"/>
        <v>High Profit</v>
      </c>
    </row>
    <row r="9" spans="1:13">
      <c r="A9">
        <v>1005</v>
      </c>
      <c r="B9" s="1">
        <v>45662</v>
      </c>
      <c r="C9" t="s">
        <v>21</v>
      </c>
      <c r="D9" t="s">
        <v>22</v>
      </c>
      <c r="E9" t="s">
        <v>23</v>
      </c>
      <c r="F9" t="str">
        <f>INDEX(SalesData[Category],MATCH(SalesData[[#This Row],[Product]],SalesData[Product],0))</f>
        <v>Accessories</v>
      </c>
      <c r="G9" t="s">
        <v>14</v>
      </c>
      <c r="H9">
        <v>1</v>
      </c>
      <c r="I9">
        <v>3106</v>
      </c>
      <c r="J9">
        <v>3106</v>
      </c>
      <c r="K9">
        <v>2484</v>
      </c>
      <c r="L9">
        <v>622</v>
      </c>
      <c r="M9" t="str">
        <f t="shared" si="0"/>
        <v>High Profit</v>
      </c>
    </row>
    <row r="10" spans="1:13">
      <c r="A10">
        <v>1074</v>
      </c>
      <c r="B10" s="1">
        <v>45731</v>
      </c>
      <c r="C10" t="s">
        <v>24</v>
      </c>
      <c r="D10" t="s">
        <v>34</v>
      </c>
      <c r="E10" t="s">
        <v>23</v>
      </c>
      <c r="F10" t="str">
        <f>INDEX(SalesData[Category],MATCH(SalesData[[#This Row],[Product]],SalesData[Product],0))</f>
        <v>Accessories</v>
      </c>
      <c r="G10" t="s">
        <v>37</v>
      </c>
      <c r="H10">
        <v>1</v>
      </c>
      <c r="I10">
        <v>3118</v>
      </c>
      <c r="J10">
        <v>3118</v>
      </c>
      <c r="K10">
        <v>2494</v>
      </c>
      <c r="L10">
        <v>624</v>
      </c>
      <c r="M10" t="str">
        <f t="shared" si="0"/>
        <v>High Profit</v>
      </c>
    </row>
    <row r="11" spans="1:13">
      <c r="A11">
        <v>1137</v>
      </c>
      <c r="B11" s="1">
        <v>45794</v>
      </c>
      <c r="C11" t="s">
        <v>25</v>
      </c>
      <c r="D11" t="s">
        <v>12</v>
      </c>
      <c r="E11" t="s">
        <v>27</v>
      </c>
      <c r="F11" t="str">
        <f>INDEX(SalesData[Category],MATCH(SalesData[[#This Row],[Product]],SalesData[Product],0))</f>
        <v>Electronics</v>
      </c>
      <c r="G11" t="s">
        <v>18</v>
      </c>
      <c r="H11">
        <v>1</v>
      </c>
      <c r="I11">
        <v>11898</v>
      </c>
      <c r="J11">
        <v>11898</v>
      </c>
      <c r="K11">
        <v>9518</v>
      </c>
      <c r="L11">
        <v>2380</v>
      </c>
      <c r="M11" t="str">
        <f t="shared" si="0"/>
        <v>High Profit</v>
      </c>
    </row>
    <row r="12" spans="1:13">
      <c r="A12">
        <v>1138</v>
      </c>
      <c r="B12" s="1">
        <v>45795</v>
      </c>
      <c r="C12" t="s">
        <v>24</v>
      </c>
      <c r="D12" t="s">
        <v>16</v>
      </c>
      <c r="E12" t="s">
        <v>27</v>
      </c>
      <c r="F12" t="str">
        <f>INDEX(SalesData[Category],MATCH(SalesData[[#This Row],[Product]],SalesData[Product],0))</f>
        <v>Electronics</v>
      </c>
      <c r="G12" t="s">
        <v>38</v>
      </c>
      <c r="H12">
        <v>1</v>
      </c>
      <c r="I12">
        <v>11994</v>
      </c>
      <c r="J12">
        <v>11994</v>
      </c>
      <c r="K12">
        <v>9595</v>
      </c>
      <c r="L12">
        <v>2399</v>
      </c>
      <c r="M12" t="str">
        <f t="shared" si="0"/>
        <v>High Profit</v>
      </c>
    </row>
    <row r="13" spans="1:13">
      <c r="A13">
        <v>1193</v>
      </c>
      <c r="B13" s="1">
        <v>45850</v>
      </c>
      <c r="C13" t="s">
        <v>25</v>
      </c>
      <c r="D13" t="s">
        <v>26</v>
      </c>
      <c r="E13" t="s">
        <v>27</v>
      </c>
      <c r="F13" t="str">
        <f>INDEX(SalesData[Category],MATCH(SalesData[[#This Row],[Product]],SalesData[Product],0))</f>
        <v>Electronics</v>
      </c>
      <c r="G13" t="s">
        <v>18</v>
      </c>
      <c r="H13">
        <v>1</v>
      </c>
      <c r="I13">
        <v>12093</v>
      </c>
      <c r="J13">
        <v>12093</v>
      </c>
      <c r="K13">
        <v>9674</v>
      </c>
      <c r="L13">
        <v>2419</v>
      </c>
      <c r="M13" t="str">
        <f t="shared" si="0"/>
        <v>High Profit</v>
      </c>
    </row>
    <row r="14" spans="1:13">
      <c r="A14">
        <v>1194</v>
      </c>
      <c r="B14" s="1">
        <v>45851</v>
      </c>
      <c r="C14" t="s">
        <v>24</v>
      </c>
      <c r="D14" t="s">
        <v>35</v>
      </c>
      <c r="E14" t="s">
        <v>27</v>
      </c>
      <c r="F14" t="str">
        <f>INDEX(SalesData[Category],MATCH(SalesData[[#This Row],[Product]],SalesData[Product],0))</f>
        <v>Electronics</v>
      </c>
      <c r="G14" t="s">
        <v>18</v>
      </c>
      <c r="H14">
        <v>1</v>
      </c>
      <c r="I14">
        <v>12153</v>
      </c>
      <c r="J14">
        <v>12153</v>
      </c>
      <c r="K14">
        <v>9722</v>
      </c>
      <c r="L14">
        <v>2431</v>
      </c>
      <c r="M14" t="str">
        <f t="shared" si="0"/>
        <v>High Profit</v>
      </c>
    </row>
    <row r="15" spans="1:13">
      <c r="A15">
        <v>1187</v>
      </c>
      <c r="B15" s="1">
        <v>45844</v>
      </c>
      <c r="C15" t="s">
        <v>11</v>
      </c>
      <c r="D15" t="s">
        <v>22</v>
      </c>
      <c r="E15" t="s">
        <v>28</v>
      </c>
      <c r="F15" t="str">
        <f>INDEX(SalesData[Category],MATCH(SalesData[[#This Row],[Product]],SalesData[Product],0))</f>
        <v>Electronics</v>
      </c>
      <c r="G15" t="s">
        <v>18</v>
      </c>
      <c r="H15">
        <v>1</v>
      </c>
      <c r="I15">
        <v>14813</v>
      </c>
      <c r="J15">
        <v>14813</v>
      </c>
      <c r="K15">
        <v>11850</v>
      </c>
      <c r="L15">
        <v>2963</v>
      </c>
      <c r="M15" t="str">
        <f t="shared" si="0"/>
        <v>High Profit</v>
      </c>
    </row>
    <row r="16" spans="1:13">
      <c r="A16">
        <v>1019</v>
      </c>
      <c r="B16" s="1">
        <v>45676</v>
      </c>
      <c r="C16" t="s">
        <v>21</v>
      </c>
      <c r="D16" t="s">
        <v>16</v>
      </c>
      <c r="E16" t="s">
        <v>28</v>
      </c>
      <c r="F16" t="str">
        <f>INDEX(SalesData[Category],MATCH(SalesData[[#This Row],[Product]],SalesData[Product],0))</f>
        <v>Electronics</v>
      </c>
      <c r="G16" t="s">
        <v>18</v>
      </c>
      <c r="H16">
        <v>1</v>
      </c>
      <c r="I16">
        <v>14894</v>
      </c>
      <c r="J16">
        <v>14894</v>
      </c>
      <c r="K16">
        <v>11915</v>
      </c>
      <c r="L16">
        <v>2979</v>
      </c>
      <c r="M16" t="str">
        <f t="shared" si="0"/>
        <v>High Profit</v>
      </c>
    </row>
    <row r="17" spans="1:13">
      <c r="A17">
        <v>1088</v>
      </c>
      <c r="B17" s="1">
        <v>45745</v>
      </c>
      <c r="C17" t="s">
        <v>21</v>
      </c>
      <c r="D17" t="s">
        <v>36</v>
      </c>
      <c r="E17" t="s">
        <v>28</v>
      </c>
      <c r="F17" t="str">
        <f>INDEX(SalesData[Category],MATCH(SalesData[[#This Row],[Product]],SalesData[Product],0))</f>
        <v>Electronics</v>
      </c>
      <c r="G17" t="s">
        <v>18</v>
      </c>
      <c r="H17">
        <v>1</v>
      </c>
      <c r="I17">
        <v>15078</v>
      </c>
      <c r="J17">
        <v>15078</v>
      </c>
      <c r="K17">
        <v>12062</v>
      </c>
      <c r="L17">
        <v>3016</v>
      </c>
      <c r="M17" t="str">
        <f t="shared" si="0"/>
        <v>High Profit</v>
      </c>
    </row>
    <row r="18" spans="1:13">
      <c r="A18">
        <v>1049</v>
      </c>
      <c r="B18" s="1">
        <v>45706</v>
      </c>
      <c r="C18" t="s">
        <v>25</v>
      </c>
      <c r="D18" t="s">
        <v>22</v>
      </c>
      <c r="E18" t="s">
        <v>28</v>
      </c>
      <c r="F18" t="str">
        <f>INDEX(SalesData[Category],MATCH(SalesData[[#This Row],[Product]],SalesData[Product],0))</f>
        <v>Electronics</v>
      </c>
      <c r="G18" t="s">
        <v>18</v>
      </c>
      <c r="H18">
        <v>1</v>
      </c>
      <c r="I18">
        <v>15198</v>
      </c>
      <c r="J18">
        <v>15198</v>
      </c>
      <c r="K18">
        <v>12158</v>
      </c>
      <c r="L18">
        <v>3040</v>
      </c>
      <c r="M18" t="str">
        <f t="shared" si="0"/>
        <v>High Profit</v>
      </c>
    </row>
    <row r="19" spans="1:13">
      <c r="A19">
        <v>1135</v>
      </c>
      <c r="B19" s="1">
        <v>45792</v>
      </c>
      <c r="C19" t="s">
        <v>11</v>
      </c>
      <c r="D19" t="s">
        <v>16</v>
      </c>
      <c r="E19" t="s">
        <v>29</v>
      </c>
      <c r="F19" t="str">
        <f>INDEX(SalesData[Category],MATCH(SalesData[[#This Row],[Product]],SalesData[Product],0))</f>
        <v>Electronics</v>
      </c>
      <c r="G19" t="s">
        <v>18</v>
      </c>
      <c r="H19">
        <v>1</v>
      </c>
      <c r="I19">
        <v>24853</v>
      </c>
      <c r="J19">
        <v>24853</v>
      </c>
      <c r="K19">
        <v>19882</v>
      </c>
      <c r="L19">
        <v>4971</v>
      </c>
      <c r="M19" t="str">
        <f t="shared" si="0"/>
        <v>High Profit</v>
      </c>
    </row>
    <row r="20" spans="1:13">
      <c r="A20">
        <v>1086</v>
      </c>
      <c r="B20" s="1">
        <v>45743</v>
      </c>
      <c r="C20" t="s">
        <v>21</v>
      </c>
      <c r="D20" t="s">
        <v>19</v>
      </c>
      <c r="E20" t="s">
        <v>17</v>
      </c>
      <c r="F20" t="str">
        <f>INDEX(SalesData[Category],MATCH(SalesData[[#This Row],[Product]],SalesData[Product],0))</f>
        <v>Electronics</v>
      </c>
      <c r="G20" t="s">
        <v>18</v>
      </c>
      <c r="H20">
        <v>1</v>
      </c>
      <c r="I20">
        <v>49852</v>
      </c>
      <c r="J20">
        <v>49852</v>
      </c>
      <c r="K20">
        <v>39881</v>
      </c>
      <c r="L20">
        <v>9971</v>
      </c>
      <c r="M20" t="str">
        <f t="shared" si="0"/>
        <v>High Profit</v>
      </c>
    </row>
    <row r="21" spans="1:13">
      <c r="A21">
        <v>1078</v>
      </c>
      <c r="B21" s="1">
        <v>45735</v>
      </c>
      <c r="C21" t="s">
        <v>11</v>
      </c>
      <c r="D21" t="s">
        <v>22</v>
      </c>
      <c r="E21" t="s">
        <v>17</v>
      </c>
      <c r="F21" t="str">
        <f>INDEX(SalesData[Category],MATCH(SalesData[[#This Row],[Product]],SalesData[Product],0))</f>
        <v>Electronics</v>
      </c>
      <c r="G21" t="s">
        <v>18</v>
      </c>
      <c r="H21">
        <v>1</v>
      </c>
      <c r="I21">
        <v>49859</v>
      </c>
      <c r="J21">
        <v>49859</v>
      </c>
      <c r="K21">
        <v>39887</v>
      </c>
      <c r="L21">
        <v>9972</v>
      </c>
      <c r="M21" t="str">
        <f t="shared" si="0"/>
        <v>High Profit</v>
      </c>
    </row>
    <row r="22" spans="1:13">
      <c r="A22">
        <v>1171</v>
      </c>
      <c r="B22" s="1">
        <v>45828</v>
      </c>
      <c r="C22" t="s">
        <v>21</v>
      </c>
      <c r="D22" t="s">
        <v>19</v>
      </c>
      <c r="E22" t="s">
        <v>17</v>
      </c>
      <c r="F22" t="str">
        <f>INDEX(SalesData[Category],MATCH(SalesData[[#This Row],[Product]],SalesData[Product],0))</f>
        <v>Electronics</v>
      </c>
      <c r="G22" t="s">
        <v>18</v>
      </c>
      <c r="H22">
        <v>1</v>
      </c>
      <c r="I22">
        <v>49989</v>
      </c>
      <c r="J22">
        <v>49989</v>
      </c>
      <c r="K22">
        <v>39991</v>
      </c>
      <c r="L22">
        <v>9998</v>
      </c>
      <c r="M22" t="str">
        <f t="shared" si="0"/>
        <v>High Profit</v>
      </c>
    </row>
    <row r="23" spans="1:13">
      <c r="A23">
        <v>1052</v>
      </c>
      <c r="B23" s="1">
        <v>45709</v>
      </c>
      <c r="C23" t="s">
        <v>11</v>
      </c>
      <c r="D23" t="s">
        <v>16</v>
      </c>
      <c r="E23" t="s">
        <v>17</v>
      </c>
      <c r="F23" t="str">
        <f>INDEX(SalesData[Category],MATCH(SalesData[[#This Row],[Product]],SalesData[Product],0))</f>
        <v>Electronics</v>
      </c>
      <c r="G23" t="s">
        <v>18</v>
      </c>
      <c r="H23">
        <v>1</v>
      </c>
      <c r="I23">
        <v>50110</v>
      </c>
      <c r="J23">
        <v>50110</v>
      </c>
      <c r="K23">
        <v>40088</v>
      </c>
      <c r="L23">
        <v>10022</v>
      </c>
      <c r="M23" t="str">
        <f t="shared" si="0"/>
        <v>High Profit</v>
      </c>
    </row>
    <row r="24" spans="1:13">
      <c r="A24">
        <v>1034</v>
      </c>
      <c r="B24" s="1">
        <v>45691</v>
      </c>
      <c r="C24" t="s">
        <v>11</v>
      </c>
      <c r="D24" t="s">
        <v>12</v>
      </c>
      <c r="E24" t="s">
        <v>20</v>
      </c>
      <c r="F24" t="str">
        <f>INDEX(SalesData[Category],MATCH(SalesData[[#This Row],[Product]],SalesData[Product],0))</f>
        <v>Accessories</v>
      </c>
      <c r="G24" t="s">
        <v>14</v>
      </c>
      <c r="H24">
        <v>2</v>
      </c>
      <c r="I24">
        <v>617</v>
      </c>
      <c r="J24">
        <v>1234</v>
      </c>
      <c r="K24">
        <v>987</v>
      </c>
      <c r="L24">
        <v>247</v>
      </c>
      <c r="M24" t="str">
        <f t="shared" si="0"/>
        <v>High Profit</v>
      </c>
    </row>
    <row r="25" spans="1:13">
      <c r="A25">
        <v>1082</v>
      </c>
      <c r="B25" s="1">
        <v>45739</v>
      </c>
      <c r="C25" t="s">
        <v>24</v>
      </c>
      <c r="D25" t="s">
        <v>12</v>
      </c>
      <c r="E25" t="s">
        <v>20</v>
      </c>
      <c r="F25" t="str">
        <f>INDEX(SalesData[Category],MATCH(SalesData[[#This Row],[Product]],SalesData[Product],0))</f>
        <v>Accessories</v>
      </c>
      <c r="G25" t="s">
        <v>14</v>
      </c>
      <c r="H25">
        <v>2</v>
      </c>
      <c r="I25">
        <v>650</v>
      </c>
      <c r="J25">
        <v>1300</v>
      </c>
      <c r="K25">
        <v>1040</v>
      </c>
      <c r="L25">
        <v>260</v>
      </c>
      <c r="M25" t="str">
        <f t="shared" si="0"/>
        <v>High Profit</v>
      </c>
    </row>
    <row r="26" spans="1:13">
      <c r="A26">
        <v>1004</v>
      </c>
      <c r="B26" s="1">
        <v>45661</v>
      </c>
      <c r="C26" t="s">
        <v>11</v>
      </c>
      <c r="D26" t="s">
        <v>19</v>
      </c>
      <c r="E26" t="s">
        <v>20</v>
      </c>
      <c r="F26" t="str">
        <f>INDEX(SalesData[Category],MATCH(SalesData[[#This Row],[Product]],SalesData[Product],0))</f>
        <v>Accessories</v>
      </c>
      <c r="G26" t="s">
        <v>14</v>
      </c>
      <c r="H26">
        <v>2</v>
      </c>
      <c r="I26">
        <v>685</v>
      </c>
      <c r="J26">
        <v>1370</v>
      </c>
      <c r="K26">
        <v>1096</v>
      </c>
      <c r="L26">
        <v>274</v>
      </c>
      <c r="M26" t="str">
        <f t="shared" si="0"/>
        <v>High Profit</v>
      </c>
    </row>
    <row r="27" spans="1:13">
      <c r="A27">
        <v>1126</v>
      </c>
      <c r="B27" s="1">
        <v>45783</v>
      </c>
      <c r="C27" t="s">
        <v>21</v>
      </c>
      <c r="D27" t="s">
        <v>26</v>
      </c>
      <c r="E27" t="s">
        <v>20</v>
      </c>
      <c r="F27" t="str">
        <f>INDEX(SalesData[Category],MATCH(SalesData[[#This Row],[Product]],SalesData[Product],0))</f>
        <v>Accessories</v>
      </c>
      <c r="G27" t="s">
        <v>14</v>
      </c>
      <c r="H27">
        <v>2</v>
      </c>
      <c r="I27">
        <v>709</v>
      </c>
      <c r="J27">
        <v>1418</v>
      </c>
      <c r="K27">
        <v>1134</v>
      </c>
      <c r="L27">
        <v>284</v>
      </c>
      <c r="M27" t="str">
        <f t="shared" si="0"/>
        <v>High Profit</v>
      </c>
    </row>
    <row r="28" spans="1:13">
      <c r="A28">
        <v>1080</v>
      </c>
      <c r="B28" s="1">
        <v>45737</v>
      </c>
      <c r="C28" t="s">
        <v>21</v>
      </c>
      <c r="D28" t="s">
        <v>22</v>
      </c>
      <c r="E28" t="s">
        <v>20</v>
      </c>
      <c r="F28" t="str">
        <f>INDEX(SalesData[Category],MATCH(SalesData[[#This Row],[Product]],SalesData[Product],0))</f>
        <v>Accessories</v>
      </c>
      <c r="G28" t="s">
        <v>14</v>
      </c>
      <c r="H28">
        <v>2</v>
      </c>
      <c r="I28">
        <v>754</v>
      </c>
      <c r="J28">
        <v>1508</v>
      </c>
      <c r="K28">
        <v>1206</v>
      </c>
      <c r="L28">
        <v>302</v>
      </c>
      <c r="M28" t="str">
        <f t="shared" si="0"/>
        <v>High Profit</v>
      </c>
    </row>
    <row r="29" spans="1:13">
      <c r="A29">
        <v>1129</v>
      </c>
      <c r="B29" s="1">
        <v>45786</v>
      </c>
      <c r="C29" t="s">
        <v>11</v>
      </c>
      <c r="D29" t="s">
        <v>22</v>
      </c>
      <c r="E29" t="s">
        <v>20</v>
      </c>
      <c r="F29" t="str">
        <f>INDEX(SalesData[Category],MATCH(SalesData[[#This Row],[Product]],SalesData[Product],0))</f>
        <v>Accessories</v>
      </c>
      <c r="G29" t="s">
        <v>14</v>
      </c>
      <c r="H29">
        <v>2</v>
      </c>
      <c r="I29">
        <v>777</v>
      </c>
      <c r="J29">
        <v>1554</v>
      </c>
      <c r="K29">
        <v>1243</v>
      </c>
      <c r="L29">
        <v>311</v>
      </c>
      <c r="M29" t="str">
        <f t="shared" si="0"/>
        <v>High Profit</v>
      </c>
    </row>
    <row r="30" spans="1:13">
      <c r="A30">
        <v>1053</v>
      </c>
      <c r="B30" s="1">
        <v>45710</v>
      </c>
      <c r="C30" t="s">
        <v>24</v>
      </c>
      <c r="D30" t="s">
        <v>22</v>
      </c>
      <c r="E30" t="s">
        <v>20</v>
      </c>
      <c r="F30" t="str">
        <f>INDEX(SalesData[Category],MATCH(SalesData[[#This Row],[Product]],SalesData[Product],0))</f>
        <v>Accessories</v>
      </c>
      <c r="G30" t="s">
        <v>14</v>
      </c>
      <c r="H30">
        <v>2</v>
      </c>
      <c r="I30">
        <v>792</v>
      </c>
      <c r="J30">
        <v>1584</v>
      </c>
      <c r="K30">
        <v>1267</v>
      </c>
      <c r="L30">
        <v>317</v>
      </c>
      <c r="M30" t="str">
        <f t="shared" si="0"/>
        <v>High Profit</v>
      </c>
    </row>
    <row r="31" spans="1:13">
      <c r="A31">
        <v>1058</v>
      </c>
      <c r="B31" s="1">
        <v>45715</v>
      </c>
      <c r="C31" t="s">
        <v>21</v>
      </c>
      <c r="D31" t="s">
        <v>22</v>
      </c>
      <c r="E31" t="s">
        <v>20</v>
      </c>
      <c r="F31" t="str">
        <f>INDEX(SalesData[Category],MATCH(SalesData[[#This Row],[Product]],SalesData[Product],0))</f>
        <v>Accessories</v>
      </c>
      <c r="G31" t="s">
        <v>14</v>
      </c>
      <c r="H31">
        <v>2</v>
      </c>
      <c r="I31">
        <v>904</v>
      </c>
      <c r="J31">
        <v>1808</v>
      </c>
      <c r="K31">
        <v>1446</v>
      </c>
      <c r="L31">
        <v>362</v>
      </c>
      <c r="M31" t="str">
        <f t="shared" si="0"/>
        <v>High Profit</v>
      </c>
    </row>
    <row r="32" spans="1:13">
      <c r="A32">
        <v>1036</v>
      </c>
      <c r="B32" s="1">
        <v>45693</v>
      </c>
      <c r="C32" t="s">
        <v>21</v>
      </c>
      <c r="D32" t="s">
        <v>16</v>
      </c>
      <c r="E32" t="s">
        <v>13</v>
      </c>
      <c r="F32" t="str">
        <f>INDEX(SalesData[Category],MATCH(SalesData[[#This Row],[Product]],SalesData[Product],0))</f>
        <v xml:space="preserve">        Accessories</v>
      </c>
      <c r="G32" t="s">
        <v>14</v>
      </c>
      <c r="H32">
        <v>2</v>
      </c>
      <c r="I32">
        <v>1122</v>
      </c>
      <c r="J32">
        <v>2244</v>
      </c>
      <c r="K32">
        <v>1795</v>
      </c>
      <c r="L32">
        <v>449</v>
      </c>
      <c r="M32" t="str">
        <f t="shared" si="0"/>
        <v>High Profit</v>
      </c>
    </row>
    <row r="33" spans="1:13">
      <c r="A33">
        <v>1123</v>
      </c>
      <c r="B33" s="1">
        <v>45780</v>
      </c>
      <c r="C33" t="s">
        <v>21</v>
      </c>
      <c r="D33" t="s">
        <v>22</v>
      </c>
      <c r="E33" t="s">
        <v>13</v>
      </c>
      <c r="F33" t="str">
        <f>INDEX(SalesData[Category],MATCH(SalesData[[#This Row],[Product]],SalesData[Product],0))</f>
        <v xml:space="preserve">        Accessories</v>
      </c>
      <c r="G33" t="s">
        <v>14</v>
      </c>
      <c r="H33">
        <v>2</v>
      </c>
      <c r="I33">
        <v>1154</v>
      </c>
      <c r="J33">
        <v>2308</v>
      </c>
      <c r="K33">
        <v>1846</v>
      </c>
      <c r="L33">
        <v>462</v>
      </c>
      <c r="M33" t="str">
        <f t="shared" si="0"/>
        <v>High Profit</v>
      </c>
    </row>
    <row r="34" spans="1:13">
      <c r="A34">
        <v>1006</v>
      </c>
      <c r="B34" s="1">
        <v>45663</v>
      </c>
      <c r="C34" t="s">
        <v>24</v>
      </c>
      <c r="D34" t="s">
        <v>19</v>
      </c>
      <c r="E34" t="s">
        <v>23</v>
      </c>
      <c r="F34" t="str">
        <f>INDEX(SalesData[Category],MATCH(SalesData[[#This Row],[Product]],SalesData[Product],0))</f>
        <v>Accessories</v>
      </c>
      <c r="G34" t="s">
        <v>14</v>
      </c>
      <c r="H34">
        <v>2</v>
      </c>
      <c r="I34">
        <v>2881</v>
      </c>
      <c r="J34">
        <v>5762</v>
      </c>
      <c r="K34">
        <v>4609</v>
      </c>
      <c r="L34">
        <v>1153</v>
      </c>
      <c r="M34" t="str">
        <f t="shared" ref="M34:M65" si="1">IF(L34&gt;200,"High Profit","Low Profit")</f>
        <v>High Profit</v>
      </c>
    </row>
    <row r="35" spans="1:13">
      <c r="A35">
        <v>1165</v>
      </c>
      <c r="B35" s="1">
        <v>45822</v>
      </c>
      <c r="C35" t="s">
        <v>21</v>
      </c>
      <c r="D35" t="s">
        <v>22</v>
      </c>
      <c r="E35" t="s">
        <v>23</v>
      </c>
      <c r="F35" t="str">
        <f>INDEX(SalesData[Category],MATCH(SalesData[[#This Row],[Product]],SalesData[Product],0))</f>
        <v>Accessories</v>
      </c>
      <c r="G35" t="s">
        <v>14</v>
      </c>
      <c r="H35">
        <v>2</v>
      </c>
      <c r="I35">
        <v>2960</v>
      </c>
      <c r="J35">
        <v>5920</v>
      </c>
      <c r="K35">
        <v>4736</v>
      </c>
      <c r="L35">
        <v>1184</v>
      </c>
      <c r="M35" t="str">
        <f t="shared" si="1"/>
        <v>High Profit</v>
      </c>
    </row>
    <row r="36" spans="1:13">
      <c r="A36">
        <v>1199</v>
      </c>
      <c r="B36" s="1">
        <v>45856</v>
      </c>
      <c r="C36" t="s">
        <v>25</v>
      </c>
      <c r="D36" t="s">
        <v>12</v>
      </c>
      <c r="E36" t="s">
        <v>23</v>
      </c>
      <c r="F36" t="str">
        <f>INDEX(SalesData[Category],MATCH(SalesData[[#This Row],[Product]],SalesData[Product],0))</f>
        <v>Accessories</v>
      </c>
      <c r="G36" t="s">
        <v>14</v>
      </c>
      <c r="H36">
        <v>2</v>
      </c>
      <c r="I36">
        <v>3008</v>
      </c>
      <c r="J36">
        <v>6016</v>
      </c>
      <c r="K36">
        <v>4812</v>
      </c>
      <c r="L36">
        <v>1204</v>
      </c>
      <c r="M36" t="str">
        <f t="shared" si="1"/>
        <v>High Profit</v>
      </c>
    </row>
    <row r="37" spans="1:13">
      <c r="A37">
        <v>1091</v>
      </c>
      <c r="B37" s="1">
        <v>45748</v>
      </c>
      <c r="C37" t="s">
        <v>11</v>
      </c>
      <c r="D37" t="s">
        <v>19</v>
      </c>
      <c r="E37" t="s">
        <v>23</v>
      </c>
      <c r="F37" t="str">
        <f>INDEX(SalesData[Category],MATCH(SalesData[[#This Row],[Product]],SalesData[Product],0))</f>
        <v>Accessories</v>
      </c>
      <c r="G37" t="s">
        <v>14</v>
      </c>
      <c r="H37">
        <v>2</v>
      </c>
      <c r="I37">
        <v>3160</v>
      </c>
      <c r="J37">
        <v>6320</v>
      </c>
      <c r="K37">
        <v>5056</v>
      </c>
      <c r="L37">
        <v>1264</v>
      </c>
      <c r="M37" t="str">
        <f t="shared" si="1"/>
        <v>High Profit</v>
      </c>
    </row>
    <row r="38" spans="1:13">
      <c r="A38">
        <v>1043</v>
      </c>
      <c r="B38" s="1">
        <v>45700</v>
      </c>
      <c r="C38" t="s">
        <v>24</v>
      </c>
      <c r="D38" t="s">
        <v>15</v>
      </c>
      <c r="E38" t="s">
        <v>23</v>
      </c>
      <c r="F38" t="str">
        <f>INDEX(SalesData[Category],MATCH(SalesData[[#This Row],[Product]],SalesData[Product],0))</f>
        <v>Accessories</v>
      </c>
      <c r="G38" t="s">
        <v>14</v>
      </c>
      <c r="H38">
        <v>2</v>
      </c>
      <c r="I38">
        <v>3167</v>
      </c>
      <c r="J38">
        <v>6334</v>
      </c>
      <c r="K38">
        <v>5067</v>
      </c>
      <c r="L38">
        <v>1267</v>
      </c>
      <c r="M38" t="str">
        <f t="shared" si="1"/>
        <v>High Profit</v>
      </c>
    </row>
    <row r="39" spans="1:13">
      <c r="A39">
        <v>1175</v>
      </c>
      <c r="B39" s="1">
        <v>45832</v>
      </c>
      <c r="C39" t="s">
        <v>21</v>
      </c>
      <c r="D39" t="s">
        <v>12</v>
      </c>
      <c r="E39" t="s">
        <v>27</v>
      </c>
      <c r="F39" t="str">
        <f>INDEX(SalesData[Category],MATCH(SalesData[[#This Row],[Product]],SalesData[Product],0))</f>
        <v>Electronics</v>
      </c>
      <c r="G39" t="s">
        <v>18</v>
      </c>
      <c r="H39">
        <v>2</v>
      </c>
      <c r="I39">
        <v>12014</v>
      </c>
      <c r="J39">
        <v>24028</v>
      </c>
      <c r="K39">
        <v>19222</v>
      </c>
      <c r="L39">
        <v>4806</v>
      </c>
      <c r="M39" t="str">
        <f t="shared" si="1"/>
        <v>High Profit</v>
      </c>
    </row>
    <row r="40" spans="1:13">
      <c r="A40">
        <v>1077</v>
      </c>
      <c r="B40" s="1">
        <v>45734</v>
      </c>
      <c r="C40" t="s">
        <v>24</v>
      </c>
      <c r="D40" t="s">
        <v>19</v>
      </c>
      <c r="E40" t="s">
        <v>27</v>
      </c>
      <c r="F40" t="str">
        <f>INDEX(SalesData[Category],MATCH(SalesData[[#This Row],[Product]],SalesData[Product],0))</f>
        <v>Electronics</v>
      </c>
      <c r="G40" t="s">
        <v>18</v>
      </c>
      <c r="H40">
        <v>2</v>
      </c>
      <c r="I40">
        <v>12053</v>
      </c>
      <c r="J40">
        <v>24106</v>
      </c>
      <c r="K40">
        <v>19284</v>
      </c>
      <c r="L40">
        <v>4822</v>
      </c>
      <c r="M40" t="str">
        <f t="shared" si="1"/>
        <v>High Profit</v>
      </c>
    </row>
    <row r="41" spans="1:13">
      <c r="A41">
        <v>1010</v>
      </c>
      <c r="B41" s="1">
        <v>45667</v>
      </c>
      <c r="C41" t="s">
        <v>21</v>
      </c>
      <c r="D41" t="s">
        <v>26</v>
      </c>
      <c r="E41" t="s">
        <v>27</v>
      </c>
      <c r="F41" t="str">
        <f>INDEX(SalesData[Category],MATCH(SalesData[[#This Row],[Product]],SalesData[Product],0))</f>
        <v>Electronics</v>
      </c>
      <c r="G41" t="s">
        <v>18</v>
      </c>
      <c r="H41">
        <v>2</v>
      </c>
      <c r="I41">
        <v>12194</v>
      </c>
      <c r="J41">
        <v>24388</v>
      </c>
      <c r="K41">
        <v>19510</v>
      </c>
      <c r="L41">
        <v>4878</v>
      </c>
      <c r="M41" t="str">
        <f t="shared" si="1"/>
        <v>High Profit</v>
      </c>
    </row>
    <row r="42" spans="1:13">
      <c r="A42">
        <v>1050</v>
      </c>
      <c r="B42" s="1">
        <v>45707</v>
      </c>
      <c r="C42" t="s">
        <v>24</v>
      </c>
      <c r="D42" t="s">
        <v>16</v>
      </c>
      <c r="E42" t="s">
        <v>29</v>
      </c>
      <c r="F42" t="str">
        <f>INDEX(SalesData[Category],MATCH(SalesData[[#This Row],[Product]],SalesData[Product],0))</f>
        <v>Electronics</v>
      </c>
      <c r="G42" t="s">
        <v>18</v>
      </c>
      <c r="H42">
        <v>2</v>
      </c>
      <c r="I42">
        <v>24918</v>
      </c>
      <c r="J42">
        <v>49836</v>
      </c>
      <c r="K42">
        <v>39868</v>
      </c>
      <c r="L42">
        <v>9968</v>
      </c>
      <c r="M42" t="str">
        <f t="shared" si="1"/>
        <v>High Profit</v>
      </c>
    </row>
    <row r="43" spans="1:13">
      <c r="A43">
        <v>1186</v>
      </c>
      <c r="B43" s="1">
        <v>45843</v>
      </c>
      <c r="C43" t="s">
        <v>11</v>
      </c>
      <c r="D43" t="s">
        <v>16</v>
      </c>
      <c r="E43" t="s">
        <v>29</v>
      </c>
      <c r="F43" t="str">
        <f>INDEX(SalesData[Category],MATCH(SalesData[[#This Row],[Product]],SalesData[Product],0))</f>
        <v>Electronics</v>
      </c>
      <c r="G43" t="s">
        <v>18</v>
      </c>
      <c r="H43">
        <v>2</v>
      </c>
      <c r="I43">
        <v>24938</v>
      </c>
      <c r="J43">
        <v>49876</v>
      </c>
      <c r="K43">
        <v>39900</v>
      </c>
      <c r="L43">
        <v>9976</v>
      </c>
      <c r="M43" t="str">
        <f t="shared" si="1"/>
        <v>High Profit</v>
      </c>
    </row>
    <row r="44" spans="1:13">
      <c r="A44">
        <v>1164</v>
      </c>
      <c r="B44" s="1">
        <v>45821</v>
      </c>
      <c r="C44" t="s">
        <v>24</v>
      </c>
      <c r="D44" t="s">
        <v>16</v>
      </c>
      <c r="E44" t="s">
        <v>29</v>
      </c>
      <c r="F44" t="str">
        <f>INDEX(SalesData[Category],MATCH(SalesData[[#This Row],[Product]],SalesData[Product],0))</f>
        <v>Electronics</v>
      </c>
      <c r="G44" t="s">
        <v>18</v>
      </c>
      <c r="H44">
        <v>2</v>
      </c>
      <c r="I44">
        <v>25009</v>
      </c>
      <c r="J44">
        <v>50018</v>
      </c>
      <c r="K44">
        <v>40014</v>
      </c>
      <c r="L44">
        <v>10004</v>
      </c>
      <c r="M44" t="str">
        <f t="shared" si="1"/>
        <v>High Profit</v>
      </c>
    </row>
    <row r="45" spans="1:13">
      <c r="A45">
        <v>1014</v>
      </c>
      <c r="B45" s="1">
        <v>45671</v>
      </c>
      <c r="C45" t="s">
        <v>24</v>
      </c>
      <c r="D45" t="s">
        <v>12</v>
      </c>
      <c r="E45" t="s">
        <v>29</v>
      </c>
      <c r="F45" t="str">
        <f>INDEX(SalesData[Category],MATCH(SalesData[[#This Row],[Product]],SalesData[Product],0))</f>
        <v>Electronics</v>
      </c>
      <c r="G45" t="s">
        <v>18</v>
      </c>
      <c r="H45">
        <v>2</v>
      </c>
      <c r="I45">
        <v>25142</v>
      </c>
      <c r="J45">
        <v>50284</v>
      </c>
      <c r="K45">
        <v>40227</v>
      </c>
      <c r="L45">
        <v>10057</v>
      </c>
      <c r="M45" t="str">
        <f t="shared" si="1"/>
        <v>High Profit</v>
      </c>
    </row>
    <row r="46" spans="1:13">
      <c r="A46">
        <v>1060</v>
      </c>
      <c r="B46" s="1">
        <v>45717</v>
      </c>
      <c r="C46" t="s">
        <v>21</v>
      </c>
      <c r="D46" t="s">
        <v>26</v>
      </c>
      <c r="E46" t="s">
        <v>17</v>
      </c>
      <c r="F46" t="str">
        <f>INDEX(SalesData[Category],MATCH(SalesData[[#This Row],[Product]],SalesData[Product],0))</f>
        <v>Electronics</v>
      </c>
      <c r="G46" t="s">
        <v>18</v>
      </c>
      <c r="H46">
        <v>2</v>
      </c>
      <c r="I46">
        <v>49903</v>
      </c>
      <c r="J46">
        <v>99806</v>
      </c>
      <c r="K46">
        <v>79844</v>
      </c>
      <c r="L46">
        <v>19962</v>
      </c>
      <c r="M46" t="str">
        <f t="shared" si="1"/>
        <v>High Profit</v>
      </c>
    </row>
    <row r="47" spans="1:13">
      <c r="A47">
        <v>1107</v>
      </c>
      <c r="B47" s="1">
        <v>45764</v>
      </c>
      <c r="C47" t="s">
        <v>11</v>
      </c>
      <c r="D47" t="s">
        <v>12</v>
      </c>
      <c r="E47" t="s">
        <v>17</v>
      </c>
      <c r="F47" t="str">
        <f>INDEX(SalesData[Category],MATCH(SalesData[[#This Row],[Product]],SalesData[Product],0))</f>
        <v>Electronics</v>
      </c>
      <c r="G47" t="s">
        <v>18</v>
      </c>
      <c r="H47">
        <v>2</v>
      </c>
      <c r="I47">
        <v>50174</v>
      </c>
      <c r="J47">
        <v>100348</v>
      </c>
      <c r="K47">
        <v>80278</v>
      </c>
      <c r="L47">
        <v>20070</v>
      </c>
      <c r="M47" t="str">
        <f t="shared" si="1"/>
        <v>High Profit</v>
      </c>
    </row>
    <row r="48" spans="1:13">
      <c r="A48">
        <v>1065</v>
      </c>
      <c r="B48" s="1">
        <v>45722</v>
      </c>
      <c r="C48" t="s">
        <v>24</v>
      </c>
      <c r="D48" t="s">
        <v>15</v>
      </c>
      <c r="E48" t="s">
        <v>20</v>
      </c>
      <c r="F48" t="str">
        <f>INDEX(SalesData[Category],MATCH(SalesData[[#This Row],[Product]],SalesData[Product],0))</f>
        <v>Accessories</v>
      </c>
      <c r="G48" t="s">
        <v>14</v>
      </c>
      <c r="H48">
        <v>3</v>
      </c>
      <c r="I48">
        <v>705</v>
      </c>
      <c r="J48">
        <v>2115</v>
      </c>
      <c r="K48">
        <v>1692</v>
      </c>
      <c r="L48">
        <v>423</v>
      </c>
      <c r="M48" t="str">
        <f t="shared" si="1"/>
        <v>High Profit</v>
      </c>
    </row>
    <row r="49" spans="1:13">
      <c r="A49">
        <v>1064</v>
      </c>
      <c r="B49" s="1">
        <v>45721</v>
      </c>
      <c r="C49" t="s">
        <v>25</v>
      </c>
      <c r="D49" t="s">
        <v>12</v>
      </c>
      <c r="E49" t="s">
        <v>20</v>
      </c>
      <c r="F49" t="str">
        <f>INDEX(SalesData[Category],MATCH(SalesData[[#This Row],[Product]],SalesData[Product],0))</f>
        <v>Accessories</v>
      </c>
      <c r="G49" t="s">
        <v>14</v>
      </c>
      <c r="H49">
        <v>3</v>
      </c>
      <c r="I49">
        <v>897</v>
      </c>
      <c r="J49">
        <v>2691</v>
      </c>
      <c r="K49">
        <v>2152</v>
      </c>
      <c r="L49">
        <v>539</v>
      </c>
      <c r="M49" t="str">
        <f t="shared" si="1"/>
        <v>High Profit</v>
      </c>
    </row>
    <row r="50" spans="1:13">
      <c r="A50">
        <v>1111</v>
      </c>
      <c r="B50" s="1">
        <v>45768</v>
      </c>
      <c r="C50" t="s">
        <v>25</v>
      </c>
      <c r="D50" t="s">
        <v>16</v>
      </c>
      <c r="E50" t="s">
        <v>13</v>
      </c>
      <c r="F50" t="str">
        <f>INDEX(SalesData[Category],MATCH(SalesData[[#This Row],[Product]],SalesData[Product],0))</f>
        <v xml:space="preserve">        Accessories</v>
      </c>
      <c r="G50" t="s">
        <v>14</v>
      </c>
      <c r="H50">
        <v>3</v>
      </c>
      <c r="I50">
        <v>1105</v>
      </c>
      <c r="J50">
        <v>3315</v>
      </c>
      <c r="K50">
        <v>2652</v>
      </c>
      <c r="L50">
        <v>663</v>
      </c>
      <c r="M50" t="str">
        <f t="shared" si="1"/>
        <v>High Profit</v>
      </c>
    </row>
    <row r="51" spans="1:13">
      <c r="A51">
        <v>1153</v>
      </c>
      <c r="B51" s="1">
        <v>45810</v>
      </c>
      <c r="C51" t="s">
        <v>25</v>
      </c>
      <c r="D51" t="s">
        <v>19</v>
      </c>
      <c r="E51" t="s">
        <v>13</v>
      </c>
      <c r="F51" t="str">
        <f>INDEX(SalesData[Category],MATCH(SalesData[[#This Row],[Product]],SalesData[Product],0))</f>
        <v xml:space="preserve">        Accessories</v>
      </c>
      <c r="G51" t="s">
        <v>14</v>
      </c>
      <c r="H51">
        <v>3</v>
      </c>
      <c r="I51">
        <v>1117</v>
      </c>
      <c r="J51">
        <v>3351</v>
      </c>
      <c r="K51">
        <v>2680</v>
      </c>
      <c r="L51">
        <v>671</v>
      </c>
      <c r="M51" t="str">
        <f t="shared" si="1"/>
        <v>High Profit</v>
      </c>
    </row>
    <row r="52" spans="1:13">
      <c r="A52">
        <v>1167</v>
      </c>
      <c r="B52" s="1">
        <v>45824</v>
      </c>
      <c r="C52" t="s">
        <v>11</v>
      </c>
      <c r="D52" t="s">
        <v>19</v>
      </c>
      <c r="E52" t="s">
        <v>13</v>
      </c>
      <c r="F52" t="str">
        <f>INDEX(SalesData[Category],MATCH(SalesData[[#This Row],[Product]],SalesData[Product],0))</f>
        <v xml:space="preserve">        Accessories</v>
      </c>
      <c r="G52" t="s">
        <v>14</v>
      </c>
      <c r="H52">
        <v>3</v>
      </c>
      <c r="I52">
        <v>1384</v>
      </c>
      <c r="J52">
        <v>4152</v>
      </c>
      <c r="K52">
        <v>3321</v>
      </c>
      <c r="L52">
        <v>831</v>
      </c>
      <c r="M52" t="str">
        <f t="shared" si="1"/>
        <v>High Profit</v>
      </c>
    </row>
    <row r="53" spans="1:13">
      <c r="A53">
        <v>1103</v>
      </c>
      <c r="B53" s="1">
        <v>45760</v>
      </c>
      <c r="C53" t="s">
        <v>25</v>
      </c>
      <c r="D53" t="s">
        <v>15</v>
      </c>
      <c r="E53" t="s">
        <v>23</v>
      </c>
      <c r="F53" t="str">
        <f>INDEX(SalesData[Category],MATCH(SalesData[[#This Row],[Product]],SalesData[Product],0))</f>
        <v>Accessories</v>
      </c>
      <c r="G53" t="s">
        <v>14</v>
      </c>
      <c r="H53">
        <v>3</v>
      </c>
      <c r="I53">
        <v>2826</v>
      </c>
      <c r="J53">
        <v>8478</v>
      </c>
      <c r="K53">
        <v>6782</v>
      </c>
      <c r="L53">
        <v>1696</v>
      </c>
      <c r="M53" t="str">
        <f t="shared" si="1"/>
        <v>High Profit</v>
      </c>
    </row>
    <row r="54" spans="1:13">
      <c r="A54">
        <v>1083</v>
      </c>
      <c r="B54" s="1">
        <v>45740</v>
      </c>
      <c r="C54" t="s">
        <v>25</v>
      </c>
      <c r="D54" t="s">
        <v>22</v>
      </c>
      <c r="E54" t="s">
        <v>23</v>
      </c>
      <c r="F54" t="str">
        <f>INDEX(SalesData[Category],MATCH(SalesData[[#This Row],[Product]],SalesData[Product],0))</f>
        <v>Accessories</v>
      </c>
      <c r="G54" t="s">
        <v>14</v>
      </c>
      <c r="H54">
        <v>3</v>
      </c>
      <c r="I54">
        <v>2886</v>
      </c>
      <c r="J54">
        <v>8658</v>
      </c>
      <c r="K54">
        <v>6926</v>
      </c>
      <c r="L54">
        <v>1732</v>
      </c>
      <c r="M54" t="str">
        <f t="shared" si="1"/>
        <v>High Profit</v>
      </c>
    </row>
    <row r="55" spans="1:13">
      <c r="A55">
        <v>1143</v>
      </c>
      <c r="B55" s="1">
        <v>45800</v>
      </c>
      <c r="C55" t="s">
        <v>21</v>
      </c>
      <c r="D55" t="s">
        <v>15</v>
      </c>
      <c r="E55" t="s">
        <v>23</v>
      </c>
      <c r="F55" t="str">
        <f>INDEX(SalesData[Category],MATCH(SalesData[[#This Row],[Product]],SalesData[Product],0))</f>
        <v>Accessories</v>
      </c>
      <c r="G55" t="s">
        <v>14</v>
      </c>
      <c r="H55">
        <v>3</v>
      </c>
      <c r="I55">
        <v>2974</v>
      </c>
      <c r="J55">
        <v>8922</v>
      </c>
      <c r="K55">
        <v>7137</v>
      </c>
      <c r="L55">
        <v>1785</v>
      </c>
      <c r="M55" t="str">
        <f t="shared" si="1"/>
        <v>High Profit</v>
      </c>
    </row>
    <row r="56" spans="1:13">
      <c r="A56">
        <v>1020</v>
      </c>
      <c r="B56" s="1">
        <v>45677</v>
      </c>
      <c r="C56" t="s">
        <v>24</v>
      </c>
      <c r="D56" t="s">
        <v>12</v>
      </c>
      <c r="E56" t="s">
        <v>23</v>
      </c>
      <c r="F56" t="str">
        <f>INDEX(SalesData[Category],MATCH(SalesData[[#This Row],[Product]],SalesData[Product],0))</f>
        <v>Accessories</v>
      </c>
      <c r="G56" t="s">
        <v>14</v>
      </c>
      <c r="H56">
        <v>3</v>
      </c>
      <c r="I56">
        <v>3000</v>
      </c>
      <c r="J56">
        <v>9000</v>
      </c>
      <c r="K56">
        <v>7200</v>
      </c>
      <c r="L56">
        <v>1800</v>
      </c>
      <c r="M56" t="str">
        <f t="shared" si="1"/>
        <v>High Profit</v>
      </c>
    </row>
    <row r="57" spans="1:13">
      <c r="A57">
        <v>1172</v>
      </c>
      <c r="B57" s="1">
        <v>45829</v>
      </c>
      <c r="C57" t="s">
        <v>25</v>
      </c>
      <c r="D57" t="s">
        <v>19</v>
      </c>
      <c r="E57" t="s">
        <v>23</v>
      </c>
      <c r="F57" t="str">
        <f>INDEX(SalesData[Category],MATCH(SalesData[[#This Row],[Product]],SalesData[Product],0))</f>
        <v>Accessories</v>
      </c>
      <c r="G57" t="s">
        <v>14</v>
      </c>
      <c r="H57">
        <v>3</v>
      </c>
      <c r="I57">
        <v>3085</v>
      </c>
      <c r="J57">
        <v>9255</v>
      </c>
      <c r="K57">
        <v>7404</v>
      </c>
      <c r="L57">
        <v>1851</v>
      </c>
      <c r="M57" t="str">
        <f t="shared" si="1"/>
        <v>High Profit</v>
      </c>
    </row>
    <row r="58" spans="1:13">
      <c r="A58">
        <v>1141</v>
      </c>
      <c r="B58" s="1">
        <v>45798</v>
      </c>
      <c r="C58" t="s">
        <v>25</v>
      </c>
      <c r="D58" t="s">
        <v>26</v>
      </c>
      <c r="E58" t="s">
        <v>23</v>
      </c>
      <c r="F58" t="str">
        <f>INDEX(SalesData[Category],MATCH(SalesData[[#This Row],[Product]],SalesData[Product],0))</f>
        <v>Accessories</v>
      </c>
      <c r="G58" t="s">
        <v>14</v>
      </c>
      <c r="H58">
        <v>3</v>
      </c>
      <c r="I58">
        <v>3108</v>
      </c>
      <c r="J58">
        <v>9324</v>
      </c>
      <c r="K58">
        <v>7459</v>
      </c>
      <c r="L58">
        <v>1865</v>
      </c>
      <c r="M58" t="str">
        <f t="shared" si="1"/>
        <v>High Profit</v>
      </c>
    </row>
    <row r="59" spans="1:13">
      <c r="A59">
        <v>1127</v>
      </c>
      <c r="B59" s="1">
        <v>45784</v>
      </c>
      <c r="C59" t="s">
        <v>11</v>
      </c>
      <c r="D59" t="s">
        <v>19</v>
      </c>
      <c r="E59" t="s">
        <v>23</v>
      </c>
      <c r="F59" t="str">
        <f>INDEX(SalesData[Category],MATCH(SalesData[[#This Row],[Product]],SalesData[Product],0))</f>
        <v>Accessories</v>
      </c>
      <c r="G59" t="s">
        <v>14</v>
      </c>
      <c r="H59">
        <v>3</v>
      </c>
      <c r="I59">
        <v>3199</v>
      </c>
      <c r="J59">
        <v>9597</v>
      </c>
      <c r="K59">
        <v>7677</v>
      </c>
      <c r="L59">
        <v>1920</v>
      </c>
      <c r="M59" t="str">
        <f t="shared" si="1"/>
        <v>High Profit</v>
      </c>
    </row>
    <row r="60" spans="1:13">
      <c r="A60">
        <v>1068</v>
      </c>
      <c r="B60" s="1">
        <v>45725</v>
      </c>
      <c r="C60" t="s">
        <v>21</v>
      </c>
      <c r="D60" t="s">
        <v>22</v>
      </c>
      <c r="E60" t="s">
        <v>27</v>
      </c>
      <c r="F60" t="str">
        <f>INDEX(SalesData[Category],MATCH(SalesData[[#This Row],[Product]],SalesData[Product],0))</f>
        <v>Electronics</v>
      </c>
      <c r="G60" t="s">
        <v>18</v>
      </c>
      <c r="H60">
        <v>3</v>
      </c>
      <c r="I60">
        <v>12062</v>
      </c>
      <c r="J60">
        <v>36186</v>
      </c>
      <c r="K60">
        <v>28948</v>
      </c>
      <c r="L60">
        <v>7238</v>
      </c>
      <c r="M60" t="str">
        <f t="shared" si="1"/>
        <v>High Profit</v>
      </c>
    </row>
    <row r="61" spans="1:13">
      <c r="A61">
        <v>1180</v>
      </c>
      <c r="B61" s="1">
        <v>45837</v>
      </c>
      <c r="C61" t="s">
        <v>21</v>
      </c>
      <c r="D61" t="s">
        <v>26</v>
      </c>
      <c r="E61" t="s">
        <v>28</v>
      </c>
      <c r="F61" t="str">
        <f>INDEX(SalesData[Category],MATCH(SalesData[[#This Row],[Product]],SalesData[Product],0))</f>
        <v>Electronics</v>
      </c>
      <c r="G61" t="s">
        <v>18</v>
      </c>
      <c r="H61">
        <v>3</v>
      </c>
      <c r="I61">
        <v>14956</v>
      </c>
      <c r="J61">
        <v>44868</v>
      </c>
      <c r="K61">
        <v>35894</v>
      </c>
      <c r="L61">
        <v>8974</v>
      </c>
      <c r="M61" t="str">
        <f t="shared" si="1"/>
        <v>High Profit</v>
      </c>
    </row>
    <row r="62" spans="1:13">
      <c r="A62">
        <v>1033</v>
      </c>
      <c r="B62" s="1">
        <v>45690</v>
      </c>
      <c r="C62" t="s">
        <v>25</v>
      </c>
      <c r="D62" t="s">
        <v>19</v>
      </c>
      <c r="E62" t="s">
        <v>28</v>
      </c>
      <c r="F62" t="str">
        <f>INDEX(SalesData[Category],MATCH(SalesData[[#This Row],[Product]],SalesData[Product],0))</f>
        <v>Electronics</v>
      </c>
      <c r="G62" t="s">
        <v>18</v>
      </c>
      <c r="H62">
        <v>3</v>
      </c>
      <c r="I62">
        <v>15034</v>
      </c>
      <c r="J62">
        <v>45102</v>
      </c>
      <c r="K62">
        <v>36081</v>
      </c>
      <c r="L62">
        <v>9021</v>
      </c>
      <c r="M62" t="str">
        <f t="shared" si="1"/>
        <v>High Profit</v>
      </c>
    </row>
    <row r="63" spans="1:13">
      <c r="A63">
        <v>1122</v>
      </c>
      <c r="B63" s="1">
        <v>45779</v>
      </c>
      <c r="C63" t="s">
        <v>11</v>
      </c>
      <c r="D63" t="s">
        <v>22</v>
      </c>
      <c r="E63" t="s">
        <v>28</v>
      </c>
      <c r="F63" t="str">
        <f>INDEX(SalesData[Category],MATCH(SalesData[[#This Row],[Product]],SalesData[Product],0))</f>
        <v>Electronics</v>
      </c>
      <c r="G63" t="s">
        <v>18</v>
      </c>
      <c r="H63">
        <v>3</v>
      </c>
      <c r="I63">
        <v>15164</v>
      </c>
      <c r="J63">
        <v>45492</v>
      </c>
      <c r="K63">
        <v>36393</v>
      </c>
      <c r="L63">
        <v>9099</v>
      </c>
      <c r="M63" t="str">
        <f t="shared" si="1"/>
        <v>High Profit</v>
      </c>
    </row>
    <row r="64" spans="1:13">
      <c r="A64">
        <v>1128</v>
      </c>
      <c r="B64" s="1">
        <v>45785</v>
      </c>
      <c r="C64" t="s">
        <v>11</v>
      </c>
      <c r="D64" t="s">
        <v>19</v>
      </c>
      <c r="E64" t="s">
        <v>29</v>
      </c>
      <c r="F64" t="str">
        <f>INDEX(SalesData[Category],MATCH(SalesData[[#This Row],[Product]],SalesData[Product],0))</f>
        <v>Electronics</v>
      </c>
      <c r="G64" t="s">
        <v>18</v>
      </c>
      <c r="H64">
        <v>3</v>
      </c>
      <c r="I64">
        <v>24894</v>
      </c>
      <c r="J64">
        <v>74682</v>
      </c>
      <c r="K64">
        <v>59745</v>
      </c>
      <c r="L64">
        <v>14937</v>
      </c>
      <c r="M64" t="str">
        <f t="shared" si="1"/>
        <v>High Profit</v>
      </c>
    </row>
    <row r="65" spans="1:13">
      <c r="A65">
        <v>1150</v>
      </c>
      <c r="B65" s="1">
        <v>45807</v>
      </c>
      <c r="C65" t="s">
        <v>11</v>
      </c>
      <c r="D65" t="s">
        <v>26</v>
      </c>
      <c r="E65" t="s">
        <v>29</v>
      </c>
      <c r="F65" t="str">
        <f>INDEX(SalesData[Category],MATCH(SalesData[[#This Row],[Product]],SalesData[Product],0))</f>
        <v>Electronics</v>
      </c>
      <c r="G65" t="s">
        <v>18</v>
      </c>
      <c r="H65">
        <v>3</v>
      </c>
      <c r="I65">
        <v>24914</v>
      </c>
      <c r="J65">
        <v>74742</v>
      </c>
      <c r="K65">
        <v>59793</v>
      </c>
      <c r="L65">
        <v>14949</v>
      </c>
      <c r="M65" t="str">
        <f t="shared" si="1"/>
        <v>High Profit</v>
      </c>
    </row>
    <row r="66" spans="1:13">
      <c r="A66">
        <v>1098</v>
      </c>
      <c r="B66" s="1">
        <v>45755</v>
      </c>
      <c r="C66" t="s">
        <v>21</v>
      </c>
      <c r="D66" t="s">
        <v>15</v>
      </c>
      <c r="E66" t="s">
        <v>29</v>
      </c>
      <c r="F66" t="str">
        <f>INDEX(SalesData[Category],MATCH(SalesData[[#This Row],[Product]],SalesData[Product],0))</f>
        <v>Electronics</v>
      </c>
      <c r="G66" t="s">
        <v>18</v>
      </c>
      <c r="H66">
        <v>3</v>
      </c>
      <c r="I66">
        <v>25062</v>
      </c>
      <c r="J66">
        <v>75186</v>
      </c>
      <c r="K66">
        <v>60148</v>
      </c>
      <c r="L66">
        <v>15038</v>
      </c>
      <c r="M66" t="str">
        <f t="shared" ref="M66:M97" si="2">IF(L66&gt;200,"High Profit","Low Profit")</f>
        <v>High Profit</v>
      </c>
    </row>
    <row r="67" spans="1:13">
      <c r="A67">
        <v>1101</v>
      </c>
      <c r="B67" s="1">
        <v>45758</v>
      </c>
      <c r="C67" t="s">
        <v>11</v>
      </c>
      <c r="D67" t="s">
        <v>15</v>
      </c>
      <c r="E67" t="s">
        <v>29</v>
      </c>
      <c r="F67" t="str">
        <f>INDEX(SalesData[Category],MATCH(SalesData[[#This Row],[Product]],SalesData[Product],0))</f>
        <v>Electronics</v>
      </c>
      <c r="G67" t="s">
        <v>18</v>
      </c>
      <c r="H67">
        <v>3</v>
      </c>
      <c r="I67">
        <v>25152</v>
      </c>
      <c r="J67">
        <v>75456</v>
      </c>
      <c r="K67">
        <v>60364</v>
      </c>
      <c r="L67">
        <v>15092</v>
      </c>
      <c r="M67" t="str">
        <f t="shared" si="2"/>
        <v>High Profit</v>
      </c>
    </row>
    <row r="68" spans="1:13">
      <c r="A68">
        <v>1100</v>
      </c>
      <c r="B68" s="1">
        <v>45757</v>
      </c>
      <c r="C68" t="s">
        <v>25</v>
      </c>
      <c r="D68" t="s">
        <v>16</v>
      </c>
      <c r="E68" t="s">
        <v>29</v>
      </c>
      <c r="F68" t="str">
        <f>INDEX(SalesData[Category],MATCH(SalesData[[#This Row],[Product]],SalesData[Product],0))</f>
        <v>Electronics</v>
      </c>
      <c r="G68" t="s">
        <v>18</v>
      </c>
      <c r="H68">
        <v>3</v>
      </c>
      <c r="I68">
        <v>25200</v>
      </c>
      <c r="J68">
        <v>75600</v>
      </c>
      <c r="K68">
        <v>60480</v>
      </c>
      <c r="L68">
        <v>15120</v>
      </c>
      <c r="M68" t="str">
        <f t="shared" si="2"/>
        <v>High Profit</v>
      </c>
    </row>
    <row r="69" spans="1:13">
      <c r="A69">
        <v>1066</v>
      </c>
      <c r="B69" s="1">
        <v>45723</v>
      </c>
      <c r="C69" t="s">
        <v>24</v>
      </c>
      <c r="D69" t="s">
        <v>22</v>
      </c>
      <c r="E69" t="s">
        <v>17</v>
      </c>
      <c r="F69" t="str">
        <f>INDEX(SalesData[Category],MATCH(SalesData[[#This Row],[Product]],SalesData[Product],0))</f>
        <v>Electronics</v>
      </c>
      <c r="G69" t="s">
        <v>18</v>
      </c>
      <c r="H69">
        <v>3</v>
      </c>
      <c r="I69">
        <v>49827</v>
      </c>
      <c r="J69">
        <v>149481</v>
      </c>
      <c r="K69">
        <v>119584</v>
      </c>
      <c r="L69">
        <v>29897</v>
      </c>
      <c r="M69" t="str">
        <f t="shared" si="2"/>
        <v>High Profit</v>
      </c>
    </row>
    <row r="70" spans="1:13">
      <c r="A70">
        <v>1170</v>
      </c>
      <c r="B70" s="1">
        <v>45827</v>
      </c>
      <c r="C70" t="s">
        <v>21</v>
      </c>
      <c r="D70" t="s">
        <v>22</v>
      </c>
      <c r="E70" t="s">
        <v>17</v>
      </c>
      <c r="F70" t="str">
        <f>INDEX(SalesData[Category],MATCH(SalesData[[#This Row],[Product]],SalesData[Product],0))</f>
        <v>Electronics</v>
      </c>
      <c r="G70" t="s">
        <v>18</v>
      </c>
      <c r="H70">
        <v>3</v>
      </c>
      <c r="I70">
        <v>49913</v>
      </c>
      <c r="J70">
        <v>149739</v>
      </c>
      <c r="K70">
        <v>119791</v>
      </c>
      <c r="L70">
        <v>29948</v>
      </c>
      <c r="M70" t="str">
        <f t="shared" si="2"/>
        <v>High Profit</v>
      </c>
    </row>
    <row r="71" spans="1:13">
      <c r="A71">
        <v>1139</v>
      </c>
      <c r="B71" s="1">
        <v>45796</v>
      </c>
      <c r="C71" t="s">
        <v>25</v>
      </c>
      <c r="D71" t="s">
        <v>22</v>
      </c>
      <c r="E71" t="s">
        <v>20</v>
      </c>
      <c r="F71" t="str">
        <f>INDEX(SalesData[Category],MATCH(SalesData[[#This Row],[Product]],SalesData[Product],0))</f>
        <v>Accessories</v>
      </c>
      <c r="G71" t="s">
        <v>14</v>
      </c>
      <c r="H71">
        <v>4</v>
      </c>
      <c r="I71">
        <v>610</v>
      </c>
      <c r="J71">
        <v>2440</v>
      </c>
      <c r="K71">
        <v>1952</v>
      </c>
      <c r="L71">
        <v>488</v>
      </c>
      <c r="M71" t="str">
        <f t="shared" si="2"/>
        <v>High Profit</v>
      </c>
    </row>
    <row r="72" spans="1:13">
      <c r="A72">
        <v>1048</v>
      </c>
      <c r="B72" s="1">
        <v>45705</v>
      </c>
      <c r="C72" t="s">
        <v>25</v>
      </c>
      <c r="D72" t="s">
        <v>16</v>
      </c>
      <c r="E72" t="s">
        <v>20</v>
      </c>
      <c r="F72" t="str">
        <f>INDEX(SalesData[Category],MATCH(SalesData[[#This Row],[Product]],SalesData[Product],0))</f>
        <v>Accessories</v>
      </c>
      <c r="G72" t="s">
        <v>14</v>
      </c>
      <c r="H72">
        <v>4</v>
      </c>
      <c r="I72">
        <v>658</v>
      </c>
      <c r="J72">
        <v>2632</v>
      </c>
      <c r="K72">
        <v>2105</v>
      </c>
      <c r="L72">
        <v>527</v>
      </c>
      <c r="M72" t="str">
        <f t="shared" si="2"/>
        <v>High Profit</v>
      </c>
    </row>
    <row r="73" spans="1:13">
      <c r="A73">
        <v>1182</v>
      </c>
      <c r="B73" s="1">
        <v>45839</v>
      </c>
      <c r="C73" t="s">
        <v>24</v>
      </c>
      <c r="D73" t="s">
        <v>15</v>
      </c>
      <c r="E73" t="s">
        <v>20</v>
      </c>
      <c r="F73" t="str">
        <f>INDEX(SalesData[Category],MATCH(SalesData[[#This Row],[Product]],SalesData[Product],0))</f>
        <v>Accessories</v>
      </c>
      <c r="G73" t="s">
        <v>14</v>
      </c>
      <c r="H73">
        <v>4</v>
      </c>
      <c r="I73">
        <v>839</v>
      </c>
      <c r="J73">
        <v>3356</v>
      </c>
      <c r="K73">
        <v>2684</v>
      </c>
      <c r="L73">
        <v>672</v>
      </c>
      <c r="M73" t="str">
        <f t="shared" si="2"/>
        <v>High Profit</v>
      </c>
    </row>
    <row r="74" spans="1:13">
      <c r="A74">
        <v>1007</v>
      </c>
      <c r="B74" s="1">
        <v>45664</v>
      </c>
      <c r="C74" t="s">
        <v>25</v>
      </c>
      <c r="D74" t="s">
        <v>26</v>
      </c>
      <c r="E74" t="s">
        <v>20</v>
      </c>
      <c r="F74" t="str">
        <f>INDEX(SalesData[Category],MATCH(SalesData[[#This Row],[Product]],SalesData[Product],0))</f>
        <v>Accessories</v>
      </c>
      <c r="G74" t="s">
        <v>14</v>
      </c>
      <c r="H74">
        <v>4</v>
      </c>
      <c r="I74">
        <v>940</v>
      </c>
      <c r="J74">
        <v>3760</v>
      </c>
      <c r="K74">
        <v>3008</v>
      </c>
      <c r="L74">
        <v>752</v>
      </c>
      <c r="M74" t="str">
        <f t="shared" si="2"/>
        <v>High Profit</v>
      </c>
    </row>
    <row r="75" spans="1:13">
      <c r="A75">
        <v>1016</v>
      </c>
      <c r="B75" s="1">
        <v>45673</v>
      </c>
      <c r="C75" t="s">
        <v>11</v>
      </c>
      <c r="D75" t="s">
        <v>15</v>
      </c>
      <c r="E75" t="s">
        <v>20</v>
      </c>
      <c r="F75" t="str">
        <f>INDEX(SalesData[Category],MATCH(SalesData[[#This Row],[Product]],SalesData[Product],0))</f>
        <v>Accessories</v>
      </c>
      <c r="G75" t="s">
        <v>14</v>
      </c>
      <c r="H75">
        <v>4</v>
      </c>
      <c r="I75">
        <v>984</v>
      </c>
      <c r="J75">
        <v>3936</v>
      </c>
      <c r="K75">
        <v>3148</v>
      </c>
      <c r="L75">
        <v>788</v>
      </c>
      <c r="M75" t="str">
        <f t="shared" si="2"/>
        <v>High Profit</v>
      </c>
    </row>
    <row r="76" spans="1:13">
      <c r="A76">
        <v>1041</v>
      </c>
      <c r="B76" s="1">
        <v>45698</v>
      </c>
      <c r="C76" t="s">
        <v>21</v>
      </c>
      <c r="D76" t="s">
        <v>19</v>
      </c>
      <c r="E76" t="s">
        <v>13</v>
      </c>
      <c r="F76" t="str">
        <f>INDEX(SalesData[Category],MATCH(SalesData[[#This Row],[Product]],SalesData[Product],0))</f>
        <v xml:space="preserve">        Accessories</v>
      </c>
      <c r="G76" t="s">
        <v>14</v>
      </c>
      <c r="H76">
        <v>4</v>
      </c>
      <c r="I76">
        <v>1375</v>
      </c>
      <c r="J76">
        <v>5500</v>
      </c>
      <c r="K76">
        <v>4400</v>
      </c>
      <c r="L76">
        <v>1100</v>
      </c>
      <c r="M76" t="str">
        <f t="shared" si="2"/>
        <v>High Profit</v>
      </c>
    </row>
    <row r="77" spans="1:13">
      <c r="A77">
        <v>1163</v>
      </c>
      <c r="B77" s="1">
        <v>45820</v>
      </c>
      <c r="C77" t="s">
        <v>24</v>
      </c>
      <c r="D77" t="s">
        <v>26</v>
      </c>
      <c r="E77" t="s">
        <v>23</v>
      </c>
      <c r="F77" t="str">
        <f>INDEX(SalesData[Category],MATCH(SalesData[[#This Row],[Product]],SalesData[Product],0))</f>
        <v>Accessories</v>
      </c>
      <c r="G77" t="s">
        <v>14</v>
      </c>
      <c r="H77">
        <v>4</v>
      </c>
      <c r="I77">
        <v>2873</v>
      </c>
      <c r="J77">
        <v>11492</v>
      </c>
      <c r="K77">
        <v>9193</v>
      </c>
      <c r="L77">
        <v>2299</v>
      </c>
      <c r="M77" t="str">
        <f t="shared" si="2"/>
        <v>High Profit</v>
      </c>
    </row>
    <row r="78" spans="1:13">
      <c r="A78">
        <v>1040</v>
      </c>
      <c r="B78" s="1">
        <v>45697</v>
      </c>
      <c r="C78" t="s">
        <v>21</v>
      </c>
      <c r="D78" t="s">
        <v>16</v>
      </c>
      <c r="E78" t="s">
        <v>23</v>
      </c>
      <c r="F78" t="str">
        <f>INDEX(SalesData[Category],MATCH(SalesData[[#This Row],[Product]],SalesData[Product],0))</f>
        <v>Accessories</v>
      </c>
      <c r="G78" t="s">
        <v>14</v>
      </c>
      <c r="H78">
        <v>4</v>
      </c>
      <c r="I78">
        <v>2889</v>
      </c>
      <c r="J78">
        <v>11556</v>
      </c>
      <c r="K78">
        <v>9244</v>
      </c>
      <c r="L78">
        <v>2312</v>
      </c>
      <c r="M78" t="str">
        <f t="shared" si="2"/>
        <v>High Profit</v>
      </c>
    </row>
    <row r="79" spans="1:13">
      <c r="A79">
        <v>1166</v>
      </c>
      <c r="B79" s="1">
        <v>45823</v>
      </c>
      <c r="C79" t="s">
        <v>21</v>
      </c>
      <c r="D79" t="s">
        <v>22</v>
      </c>
      <c r="E79" t="s">
        <v>23</v>
      </c>
      <c r="F79" t="str">
        <f>INDEX(SalesData[Category],MATCH(SalesData[[#This Row],[Product]],SalesData[Product],0))</f>
        <v>Accessories</v>
      </c>
      <c r="G79" t="s">
        <v>14</v>
      </c>
      <c r="H79">
        <v>4</v>
      </c>
      <c r="I79">
        <v>2947</v>
      </c>
      <c r="J79">
        <v>11788</v>
      </c>
      <c r="K79">
        <v>9430</v>
      </c>
      <c r="L79">
        <v>2358</v>
      </c>
      <c r="M79" t="str">
        <f t="shared" si="2"/>
        <v>High Profit</v>
      </c>
    </row>
    <row r="80" spans="1:13">
      <c r="A80">
        <v>1104</v>
      </c>
      <c r="B80" s="1">
        <v>45761</v>
      </c>
      <c r="C80" t="s">
        <v>25</v>
      </c>
      <c r="D80" t="s">
        <v>12</v>
      </c>
      <c r="E80" t="s">
        <v>23</v>
      </c>
      <c r="F80" t="str">
        <f>INDEX(SalesData[Category],MATCH(SalesData[[#This Row],[Product]],SalesData[Product],0))</f>
        <v>Accessories</v>
      </c>
      <c r="G80" t="s">
        <v>14</v>
      </c>
      <c r="H80">
        <v>4</v>
      </c>
      <c r="I80">
        <v>3088</v>
      </c>
      <c r="J80">
        <v>12352</v>
      </c>
      <c r="K80">
        <v>9881</v>
      </c>
      <c r="L80">
        <v>2471</v>
      </c>
      <c r="M80" t="str">
        <f t="shared" si="2"/>
        <v>High Profit</v>
      </c>
    </row>
    <row r="81" spans="1:13">
      <c r="A81">
        <v>1024</v>
      </c>
      <c r="B81" s="1">
        <v>45681</v>
      </c>
      <c r="C81" t="s">
        <v>21</v>
      </c>
      <c r="D81" t="s">
        <v>12</v>
      </c>
      <c r="E81" t="s">
        <v>27</v>
      </c>
      <c r="F81" t="str">
        <f>INDEX(SalesData[Category],MATCH(SalesData[[#This Row],[Product]],SalesData[Product],0))</f>
        <v>Electronics</v>
      </c>
      <c r="G81" t="s">
        <v>18</v>
      </c>
      <c r="H81">
        <v>4</v>
      </c>
      <c r="I81">
        <v>11976</v>
      </c>
      <c r="J81">
        <v>47904</v>
      </c>
      <c r="K81">
        <v>38323</v>
      </c>
      <c r="L81">
        <v>9581</v>
      </c>
      <c r="M81" t="str">
        <f t="shared" si="2"/>
        <v>High Profit</v>
      </c>
    </row>
    <row r="82" spans="1:13">
      <c r="A82">
        <v>1151</v>
      </c>
      <c r="B82" s="1">
        <v>45808</v>
      </c>
      <c r="C82" t="s">
        <v>25</v>
      </c>
      <c r="D82" t="s">
        <v>15</v>
      </c>
      <c r="E82" t="s">
        <v>27</v>
      </c>
      <c r="F82" t="str">
        <f>INDEX(SalesData[Category],MATCH(SalesData[[#This Row],[Product]],SalesData[Product],0))</f>
        <v>Electronics</v>
      </c>
      <c r="G82" t="s">
        <v>18</v>
      </c>
      <c r="H82">
        <v>4</v>
      </c>
      <c r="I82">
        <v>12144</v>
      </c>
      <c r="J82">
        <v>48576</v>
      </c>
      <c r="K82">
        <v>38860</v>
      </c>
      <c r="L82">
        <v>9716</v>
      </c>
      <c r="M82" t="str">
        <f t="shared" si="2"/>
        <v>High Profit</v>
      </c>
    </row>
    <row r="83" spans="1:13">
      <c r="A83">
        <v>1184</v>
      </c>
      <c r="B83" s="1">
        <v>45841</v>
      </c>
      <c r="C83" t="s">
        <v>24</v>
      </c>
      <c r="D83" t="s">
        <v>22</v>
      </c>
      <c r="E83" t="s">
        <v>27</v>
      </c>
      <c r="F83" t="str">
        <f>INDEX(SalesData[Category],MATCH(SalesData[[#This Row],[Product]],SalesData[Product],0))</f>
        <v>Electronics</v>
      </c>
      <c r="G83" t="s">
        <v>18</v>
      </c>
      <c r="H83">
        <v>4</v>
      </c>
      <c r="I83">
        <v>12179</v>
      </c>
      <c r="J83">
        <v>48716</v>
      </c>
      <c r="K83">
        <v>38972</v>
      </c>
      <c r="L83">
        <v>9744</v>
      </c>
      <c r="M83" t="str">
        <f t="shared" si="2"/>
        <v>High Profit</v>
      </c>
    </row>
    <row r="84" spans="1:13">
      <c r="A84">
        <v>1011</v>
      </c>
      <c r="B84" s="1">
        <v>45668</v>
      </c>
      <c r="C84" t="s">
        <v>25</v>
      </c>
      <c r="D84" t="s">
        <v>26</v>
      </c>
      <c r="E84" t="s">
        <v>28</v>
      </c>
      <c r="F84" t="str">
        <f>INDEX(SalesData[Category],MATCH(SalesData[[#This Row],[Product]],SalesData[Product],0))</f>
        <v>Electronics</v>
      </c>
      <c r="G84" t="s">
        <v>18</v>
      </c>
      <c r="H84">
        <v>4</v>
      </c>
      <c r="I84">
        <v>14905</v>
      </c>
      <c r="J84">
        <v>59620</v>
      </c>
      <c r="K84">
        <v>47696</v>
      </c>
      <c r="L84">
        <v>11924</v>
      </c>
      <c r="M84" t="str">
        <f t="shared" si="2"/>
        <v>High Profit</v>
      </c>
    </row>
    <row r="85" spans="1:13">
      <c r="A85">
        <v>1028</v>
      </c>
      <c r="B85" s="1">
        <v>45685</v>
      </c>
      <c r="C85" t="s">
        <v>25</v>
      </c>
      <c r="D85" t="s">
        <v>19</v>
      </c>
      <c r="E85" t="s">
        <v>28</v>
      </c>
      <c r="F85" t="str">
        <f>INDEX(SalesData[Category],MATCH(SalesData[[#This Row],[Product]],SalesData[Product],0))</f>
        <v>Electronics</v>
      </c>
      <c r="G85" t="s">
        <v>18</v>
      </c>
      <c r="H85">
        <v>4</v>
      </c>
      <c r="I85">
        <v>14906</v>
      </c>
      <c r="J85">
        <v>59624</v>
      </c>
      <c r="K85">
        <v>47699</v>
      </c>
      <c r="L85">
        <v>11925</v>
      </c>
      <c r="M85" t="str">
        <f t="shared" si="2"/>
        <v>High Profit</v>
      </c>
    </row>
    <row r="86" spans="1:13">
      <c r="A86">
        <v>1134</v>
      </c>
      <c r="B86" s="1">
        <v>45791</v>
      </c>
      <c r="C86" t="s">
        <v>25</v>
      </c>
      <c r="D86" t="s">
        <v>16</v>
      </c>
      <c r="E86" t="s">
        <v>28</v>
      </c>
      <c r="F86" t="str">
        <f>INDEX(SalesData[Category],MATCH(SalesData[[#This Row],[Product]],SalesData[Product],0))</f>
        <v>Electronics</v>
      </c>
      <c r="G86" t="s">
        <v>18</v>
      </c>
      <c r="H86">
        <v>4</v>
      </c>
      <c r="I86">
        <v>14959</v>
      </c>
      <c r="J86">
        <v>59836</v>
      </c>
      <c r="K86">
        <v>47868</v>
      </c>
      <c r="L86">
        <v>11968</v>
      </c>
      <c r="M86" t="str">
        <f t="shared" si="2"/>
        <v>High Profit</v>
      </c>
    </row>
    <row r="87" spans="1:13">
      <c r="A87">
        <v>1022</v>
      </c>
      <c r="B87" s="1">
        <v>45679</v>
      </c>
      <c r="C87" t="s">
        <v>11</v>
      </c>
      <c r="D87" t="s">
        <v>22</v>
      </c>
      <c r="E87" t="s">
        <v>29</v>
      </c>
      <c r="F87" t="str">
        <f>INDEX(SalesData[Category],MATCH(SalesData[[#This Row],[Product]],SalesData[Product],0))</f>
        <v>Electronics</v>
      </c>
      <c r="G87" t="s">
        <v>18</v>
      </c>
      <c r="H87">
        <v>4</v>
      </c>
      <c r="I87">
        <v>25153</v>
      </c>
      <c r="J87">
        <v>100612</v>
      </c>
      <c r="K87">
        <v>80489</v>
      </c>
      <c r="L87">
        <v>20123</v>
      </c>
      <c r="M87" t="str">
        <f t="shared" si="2"/>
        <v>High Profit</v>
      </c>
    </row>
    <row r="88" spans="1:13">
      <c r="A88">
        <v>1027</v>
      </c>
      <c r="B88" s="1">
        <v>45684</v>
      </c>
      <c r="C88" t="s">
        <v>21</v>
      </c>
      <c r="D88" t="s">
        <v>16</v>
      </c>
      <c r="E88" t="s">
        <v>17</v>
      </c>
      <c r="F88" t="str">
        <f>INDEX(SalesData[Category],MATCH(SalesData[[#This Row],[Product]],SalesData[Product],0))</f>
        <v>Electronics</v>
      </c>
      <c r="G88" t="s">
        <v>18</v>
      </c>
      <c r="H88">
        <v>4</v>
      </c>
      <c r="I88">
        <v>49920</v>
      </c>
      <c r="J88">
        <v>199680</v>
      </c>
      <c r="K88">
        <v>159744</v>
      </c>
      <c r="L88">
        <v>39936</v>
      </c>
      <c r="M88" t="str">
        <f t="shared" si="2"/>
        <v>High Profit</v>
      </c>
    </row>
    <row r="89" spans="1:13">
      <c r="A89">
        <v>1026</v>
      </c>
      <c r="B89" s="1">
        <v>45683</v>
      </c>
      <c r="C89" t="s">
        <v>25</v>
      </c>
      <c r="D89" t="s">
        <v>12</v>
      </c>
      <c r="E89" t="s">
        <v>17</v>
      </c>
      <c r="F89" t="str">
        <f>INDEX(SalesData[Category],MATCH(SalesData[[#This Row],[Product]],SalesData[Product],0))</f>
        <v>Electronics</v>
      </c>
      <c r="G89" t="s">
        <v>18</v>
      </c>
      <c r="H89">
        <v>4</v>
      </c>
      <c r="I89">
        <v>49941</v>
      </c>
      <c r="J89">
        <v>199764</v>
      </c>
      <c r="K89">
        <v>159811</v>
      </c>
      <c r="L89">
        <v>39953</v>
      </c>
      <c r="M89" t="str">
        <f t="shared" si="2"/>
        <v>High Profit</v>
      </c>
    </row>
    <row r="90" spans="1:13">
      <c r="A90">
        <v>1110</v>
      </c>
      <c r="B90" s="1">
        <v>45767</v>
      </c>
      <c r="C90" t="s">
        <v>24</v>
      </c>
      <c r="D90" t="s">
        <v>12</v>
      </c>
      <c r="E90" t="s">
        <v>17</v>
      </c>
      <c r="F90" t="str">
        <f>INDEX(SalesData[Category],MATCH(SalesData[[#This Row],[Product]],SalesData[Product],0))</f>
        <v>Electronics</v>
      </c>
      <c r="G90" t="s">
        <v>18</v>
      </c>
      <c r="H90">
        <v>4</v>
      </c>
      <c r="I90">
        <v>50109</v>
      </c>
      <c r="J90">
        <v>200436</v>
      </c>
      <c r="K90">
        <v>160348</v>
      </c>
      <c r="L90">
        <v>40088</v>
      </c>
      <c r="M90" t="str">
        <f t="shared" si="2"/>
        <v>High Profit</v>
      </c>
    </row>
    <row r="91" spans="1:13">
      <c r="A91">
        <v>1063</v>
      </c>
      <c r="B91" s="1">
        <v>45720</v>
      </c>
      <c r="C91" t="s">
        <v>24</v>
      </c>
      <c r="D91" t="s">
        <v>16</v>
      </c>
      <c r="E91" t="s">
        <v>20</v>
      </c>
      <c r="F91" t="str">
        <f>INDEX(SalesData[Category],MATCH(SalesData[[#This Row],[Product]],SalesData[Product],0))</f>
        <v>Accessories</v>
      </c>
      <c r="G91" t="s">
        <v>14</v>
      </c>
      <c r="H91">
        <v>5</v>
      </c>
      <c r="I91">
        <v>799</v>
      </c>
      <c r="J91">
        <v>3995</v>
      </c>
      <c r="K91">
        <v>3196</v>
      </c>
      <c r="L91">
        <v>799</v>
      </c>
      <c r="M91" t="str">
        <f t="shared" si="2"/>
        <v>High Profit</v>
      </c>
    </row>
    <row r="92" spans="1:13">
      <c r="A92">
        <v>1142</v>
      </c>
      <c r="B92" s="1">
        <v>45799</v>
      </c>
      <c r="C92" t="s">
        <v>25</v>
      </c>
      <c r="D92" t="s">
        <v>12</v>
      </c>
      <c r="E92" t="s">
        <v>13</v>
      </c>
      <c r="F92" t="str">
        <f>INDEX(SalesData[Category],MATCH(SalesData[[#This Row],[Product]],SalesData[Product],0))</f>
        <v xml:space="preserve">        Accessories</v>
      </c>
      <c r="G92" t="s">
        <v>14</v>
      </c>
      <c r="H92">
        <v>5</v>
      </c>
      <c r="I92">
        <v>1171</v>
      </c>
      <c r="J92">
        <v>5855</v>
      </c>
      <c r="K92">
        <v>4684</v>
      </c>
      <c r="L92">
        <v>1171</v>
      </c>
      <c r="M92" t="str">
        <f t="shared" si="2"/>
        <v>High Profit</v>
      </c>
    </row>
    <row r="93" spans="1:13">
      <c r="A93">
        <v>1154</v>
      </c>
      <c r="B93" s="1">
        <v>45811</v>
      </c>
      <c r="C93" t="s">
        <v>21</v>
      </c>
      <c r="D93" t="s">
        <v>26</v>
      </c>
      <c r="E93" t="s">
        <v>13</v>
      </c>
      <c r="F93" t="str">
        <f>INDEX(SalesData[Category],MATCH(SalesData[[#This Row],[Product]],SalesData[Product],0))</f>
        <v xml:space="preserve">        Accessories</v>
      </c>
      <c r="G93" t="s">
        <v>14</v>
      </c>
      <c r="H93">
        <v>5</v>
      </c>
      <c r="I93">
        <v>1173</v>
      </c>
      <c r="J93">
        <v>5865</v>
      </c>
      <c r="K93">
        <v>4692</v>
      </c>
      <c r="L93">
        <v>1173</v>
      </c>
      <c r="M93" t="str">
        <f t="shared" si="2"/>
        <v>High Profit</v>
      </c>
    </row>
    <row r="94" spans="1:13">
      <c r="A94">
        <v>1057</v>
      </c>
      <c r="B94" s="1">
        <v>45714</v>
      </c>
      <c r="C94" t="s">
        <v>11</v>
      </c>
      <c r="D94" t="s">
        <v>16</v>
      </c>
      <c r="E94" t="s">
        <v>13</v>
      </c>
      <c r="F94" t="str">
        <f>INDEX(SalesData[Category],MATCH(SalesData[[#This Row],[Product]],SalesData[Product],0))</f>
        <v xml:space="preserve">        Accessories</v>
      </c>
      <c r="G94" t="s">
        <v>14</v>
      </c>
      <c r="H94">
        <v>5</v>
      </c>
      <c r="I94">
        <v>1227</v>
      </c>
      <c r="J94">
        <v>6135</v>
      </c>
      <c r="K94">
        <v>4908</v>
      </c>
      <c r="L94">
        <v>1227</v>
      </c>
      <c r="M94" t="str">
        <f t="shared" si="2"/>
        <v>High Profit</v>
      </c>
    </row>
    <row r="95" spans="1:13">
      <c r="A95">
        <v>1097</v>
      </c>
      <c r="B95" s="1">
        <v>45754</v>
      </c>
      <c r="C95" t="s">
        <v>25</v>
      </c>
      <c r="D95" t="s">
        <v>19</v>
      </c>
      <c r="E95" t="s">
        <v>13</v>
      </c>
      <c r="F95" t="str">
        <f>INDEX(SalesData[Category],MATCH(SalesData[[#This Row],[Product]],SalesData[Product],0))</f>
        <v xml:space="preserve">        Accessories</v>
      </c>
      <c r="G95" t="s">
        <v>14</v>
      </c>
      <c r="H95">
        <v>5</v>
      </c>
      <c r="I95">
        <v>1274</v>
      </c>
      <c r="J95">
        <v>6370</v>
      </c>
      <c r="K95">
        <v>5096</v>
      </c>
      <c r="L95">
        <v>1274</v>
      </c>
      <c r="M95" t="str">
        <f t="shared" si="2"/>
        <v>High Profit</v>
      </c>
    </row>
    <row r="96" spans="1:13">
      <c r="A96">
        <v>1169</v>
      </c>
      <c r="B96" s="1">
        <v>45826</v>
      </c>
      <c r="C96" t="s">
        <v>24</v>
      </c>
      <c r="D96" t="s">
        <v>19</v>
      </c>
      <c r="E96" t="s">
        <v>27</v>
      </c>
      <c r="F96" t="str">
        <f>INDEX(SalesData[Category],MATCH(SalesData[[#This Row],[Product]],SalesData[Product],0))</f>
        <v>Electronics</v>
      </c>
      <c r="G96" t="s">
        <v>18</v>
      </c>
      <c r="H96">
        <v>5</v>
      </c>
      <c r="I96">
        <v>11850</v>
      </c>
      <c r="J96">
        <v>59250</v>
      </c>
      <c r="K96">
        <v>47400</v>
      </c>
      <c r="L96">
        <v>11850</v>
      </c>
      <c r="M96" t="str">
        <f t="shared" si="2"/>
        <v>High Profit</v>
      </c>
    </row>
    <row r="97" spans="1:13">
      <c r="A97">
        <v>1125</v>
      </c>
      <c r="B97" s="1">
        <v>45782</v>
      </c>
      <c r="C97" t="s">
        <v>24</v>
      </c>
      <c r="D97" t="s">
        <v>22</v>
      </c>
      <c r="E97" t="s">
        <v>27</v>
      </c>
      <c r="F97" t="str">
        <f>INDEX(SalesData[Category],MATCH(SalesData[[#This Row],[Product]],SalesData[Product],0))</f>
        <v>Electronics</v>
      </c>
      <c r="G97" t="s">
        <v>18</v>
      </c>
      <c r="H97">
        <v>5</v>
      </c>
      <c r="I97">
        <v>12129</v>
      </c>
      <c r="J97">
        <v>60645</v>
      </c>
      <c r="K97">
        <v>48516</v>
      </c>
      <c r="L97">
        <v>12129</v>
      </c>
      <c r="M97" t="str">
        <f t="shared" si="2"/>
        <v>High Profit</v>
      </c>
    </row>
    <row r="98" spans="1:13">
      <c r="A98">
        <v>1090</v>
      </c>
      <c r="B98" s="1">
        <v>45747</v>
      </c>
      <c r="C98" t="s">
        <v>11</v>
      </c>
      <c r="D98" t="s">
        <v>22</v>
      </c>
      <c r="E98" t="s">
        <v>28</v>
      </c>
      <c r="F98" t="str">
        <f>INDEX(SalesData[Category],MATCH(SalesData[[#This Row],[Product]],SalesData[Product],0))</f>
        <v>Electronics</v>
      </c>
      <c r="G98" t="s">
        <v>18</v>
      </c>
      <c r="H98">
        <v>5</v>
      </c>
      <c r="I98">
        <v>14898</v>
      </c>
      <c r="J98">
        <v>74490</v>
      </c>
      <c r="K98">
        <v>59592</v>
      </c>
      <c r="L98">
        <v>14898</v>
      </c>
      <c r="M98" t="str">
        <f t="shared" ref="M98:M129" si="3">IF(L98&gt;200,"High Profit","Low Profit")</f>
        <v>High Profit</v>
      </c>
    </row>
    <row r="99" spans="1:13">
      <c r="A99">
        <v>1140</v>
      </c>
      <c r="B99" s="1">
        <v>45797</v>
      </c>
      <c r="C99" t="s">
        <v>11</v>
      </c>
      <c r="D99" t="s">
        <v>15</v>
      </c>
      <c r="E99" t="s">
        <v>28</v>
      </c>
      <c r="F99" t="str">
        <f>INDEX(SalesData[Category],MATCH(SalesData[[#This Row],[Product]],SalesData[Product],0))</f>
        <v>Electronics</v>
      </c>
      <c r="G99" t="s">
        <v>18</v>
      </c>
      <c r="H99">
        <v>5</v>
      </c>
      <c r="I99">
        <v>14912</v>
      </c>
      <c r="J99">
        <v>74560</v>
      </c>
      <c r="K99">
        <v>59648</v>
      </c>
      <c r="L99">
        <v>14912</v>
      </c>
      <c r="M99" t="str">
        <f t="shared" si="3"/>
        <v>High Profit</v>
      </c>
    </row>
    <row r="100" spans="1:13">
      <c r="A100">
        <v>1047</v>
      </c>
      <c r="B100" s="1">
        <v>45704</v>
      </c>
      <c r="C100" t="s">
        <v>24</v>
      </c>
      <c r="D100" t="s">
        <v>26</v>
      </c>
      <c r="E100" t="s">
        <v>28</v>
      </c>
      <c r="F100" t="str">
        <f>INDEX(SalesData[Category],MATCH(SalesData[[#This Row],[Product]],SalesData[Product],0))</f>
        <v>Electronics</v>
      </c>
      <c r="G100" t="s">
        <v>18</v>
      </c>
      <c r="H100">
        <v>5</v>
      </c>
      <c r="I100">
        <v>14986</v>
      </c>
      <c r="J100">
        <v>74930</v>
      </c>
      <c r="K100">
        <v>59944</v>
      </c>
      <c r="L100">
        <v>14986</v>
      </c>
      <c r="M100" t="str">
        <f t="shared" si="3"/>
        <v>High Profit</v>
      </c>
    </row>
    <row r="101" spans="1:13">
      <c r="A101">
        <v>1056</v>
      </c>
      <c r="B101" s="1">
        <v>45713</v>
      </c>
      <c r="C101" t="s">
        <v>25</v>
      </c>
      <c r="D101" t="s">
        <v>12</v>
      </c>
      <c r="E101" t="s">
        <v>28</v>
      </c>
      <c r="F101" t="str">
        <f>INDEX(SalesData[Category],MATCH(SalesData[[#This Row],[Product]],SalesData[Product],0))</f>
        <v>Electronics</v>
      </c>
      <c r="G101" t="s">
        <v>18</v>
      </c>
      <c r="H101">
        <v>5</v>
      </c>
      <c r="I101">
        <v>15004</v>
      </c>
      <c r="J101">
        <v>75020</v>
      </c>
      <c r="K101">
        <v>60016</v>
      </c>
      <c r="L101">
        <v>15004</v>
      </c>
      <c r="M101" t="str">
        <f t="shared" si="3"/>
        <v>High Profit</v>
      </c>
    </row>
    <row r="102" spans="1:13">
      <c r="A102">
        <v>1095</v>
      </c>
      <c r="B102" s="1">
        <v>45752</v>
      </c>
      <c r="C102" t="s">
        <v>21</v>
      </c>
      <c r="D102" t="s">
        <v>26</v>
      </c>
      <c r="E102" t="s">
        <v>28</v>
      </c>
      <c r="F102" t="str">
        <f>INDEX(SalesData[Category],MATCH(SalesData[[#This Row],[Product]],SalesData[Product],0))</f>
        <v>Electronics</v>
      </c>
      <c r="G102" t="s">
        <v>18</v>
      </c>
      <c r="H102">
        <v>5</v>
      </c>
      <c r="I102">
        <v>15124</v>
      </c>
      <c r="J102">
        <v>75620</v>
      </c>
      <c r="K102">
        <v>60496</v>
      </c>
      <c r="L102">
        <v>15124</v>
      </c>
      <c r="M102" t="str">
        <f t="shared" si="3"/>
        <v>High Profit</v>
      </c>
    </row>
    <row r="103" spans="1:13">
      <c r="A103">
        <v>1200</v>
      </c>
      <c r="B103" s="1">
        <v>45857</v>
      </c>
      <c r="C103" t="s">
        <v>11</v>
      </c>
      <c r="D103" t="s">
        <v>16</v>
      </c>
      <c r="E103" t="s">
        <v>29</v>
      </c>
      <c r="F103" t="str">
        <f>INDEX(SalesData[Category],MATCH(SalesData[[#This Row],[Product]],SalesData[Product],0))</f>
        <v>Electronics</v>
      </c>
      <c r="G103" t="s">
        <v>18</v>
      </c>
      <c r="H103">
        <v>5</v>
      </c>
      <c r="I103">
        <v>24831</v>
      </c>
      <c r="J103">
        <v>124155</v>
      </c>
      <c r="K103">
        <v>99324</v>
      </c>
      <c r="L103">
        <v>24831</v>
      </c>
      <c r="M103" t="str">
        <f t="shared" si="3"/>
        <v>High Profit</v>
      </c>
    </row>
    <row r="104" spans="1:13">
      <c r="A104">
        <v>1191</v>
      </c>
      <c r="B104" s="1">
        <v>45848</v>
      </c>
      <c r="C104" t="s">
        <v>21</v>
      </c>
      <c r="D104" t="s">
        <v>12</v>
      </c>
      <c r="E104" t="s">
        <v>29</v>
      </c>
      <c r="F104" t="str">
        <f>INDEX(SalesData[Category],MATCH(SalesData[[#This Row],[Product]],SalesData[Product],0))</f>
        <v>Electronics</v>
      </c>
      <c r="G104" t="s">
        <v>18</v>
      </c>
      <c r="H104">
        <v>5</v>
      </c>
      <c r="I104">
        <v>24840</v>
      </c>
      <c r="J104">
        <v>124200</v>
      </c>
      <c r="K104">
        <v>99360</v>
      </c>
      <c r="L104">
        <v>24840</v>
      </c>
      <c r="M104" t="str">
        <f t="shared" si="3"/>
        <v>High Profit</v>
      </c>
    </row>
    <row r="105" spans="1:13">
      <c r="A105">
        <v>1192</v>
      </c>
      <c r="B105" s="1">
        <v>45849</v>
      </c>
      <c r="C105" t="s">
        <v>24</v>
      </c>
      <c r="D105" t="s">
        <v>19</v>
      </c>
      <c r="E105" t="s">
        <v>29</v>
      </c>
      <c r="F105" t="str">
        <f>INDEX(SalesData[Category],MATCH(SalesData[[#This Row],[Product]],SalesData[Product],0))</f>
        <v>Electronics</v>
      </c>
      <c r="G105" t="s">
        <v>18</v>
      </c>
      <c r="H105">
        <v>5</v>
      </c>
      <c r="I105">
        <v>24841</v>
      </c>
      <c r="J105">
        <v>124205</v>
      </c>
      <c r="K105">
        <v>99364</v>
      </c>
      <c r="L105">
        <v>24841</v>
      </c>
      <c r="M105" t="str">
        <f t="shared" si="3"/>
        <v>High Profit</v>
      </c>
    </row>
    <row r="106" spans="1:13">
      <c r="A106">
        <v>1035</v>
      </c>
      <c r="B106" s="1">
        <v>45692</v>
      </c>
      <c r="C106" t="s">
        <v>24</v>
      </c>
      <c r="D106" t="s">
        <v>19</v>
      </c>
      <c r="E106" t="s">
        <v>29</v>
      </c>
      <c r="F106" t="str">
        <f>INDEX(SalesData[Category],MATCH(SalesData[[#This Row],[Product]],SalesData[Product],0))</f>
        <v>Electronics</v>
      </c>
      <c r="G106" t="s">
        <v>18</v>
      </c>
      <c r="H106">
        <v>5</v>
      </c>
      <c r="I106">
        <v>24959</v>
      </c>
      <c r="J106">
        <v>124795</v>
      </c>
      <c r="K106">
        <v>99836</v>
      </c>
      <c r="L106">
        <v>24959</v>
      </c>
      <c r="M106" t="str">
        <f t="shared" si="3"/>
        <v>High Profit</v>
      </c>
    </row>
    <row r="107" spans="1:13">
      <c r="A107">
        <v>1013</v>
      </c>
      <c r="B107" s="1">
        <v>45670</v>
      </c>
      <c r="C107" t="s">
        <v>25</v>
      </c>
      <c r="D107" t="s">
        <v>16</v>
      </c>
      <c r="E107" t="s">
        <v>17</v>
      </c>
      <c r="F107" t="str">
        <f>INDEX(SalesData[Category],MATCH(SalesData[[#This Row],[Product]],SalesData[Product],0))</f>
        <v>Electronics</v>
      </c>
      <c r="G107" t="s">
        <v>18</v>
      </c>
      <c r="H107">
        <v>5</v>
      </c>
      <c r="I107">
        <v>49986</v>
      </c>
      <c r="J107">
        <v>249930</v>
      </c>
      <c r="K107">
        <v>199944</v>
      </c>
      <c r="L107">
        <v>49986</v>
      </c>
      <c r="M107" t="str">
        <f t="shared" si="3"/>
        <v>High Profit</v>
      </c>
    </row>
    <row r="108" spans="1:13">
      <c r="A108">
        <v>1132</v>
      </c>
      <c r="B108" s="1">
        <v>45789</v>
      </c>
      <c r="C108" t="s">
        <v>25</v>
      </c>
      <c r="D108" t="s">
        <v>19</v>
      </c>
      <c r="E108" t="s">
        <v>17</v>
      </c>
      <c r="F108" t="str">
        <f>INDEX(SalesData[Category],MATCH(SalesData[[#This Row],[Product]],SalesData[Product],0))</f>
        <v>Electronics</v>
      </c>
      <c r="G108" t="s">
        <v>18</v>
      </c>
      <c r="H108">
        <v>5</v>
      </c>
      <c r="I108">
        <v>50123</v>
      </c>
      <c r="J108">
        <v>250615</v>
      </c>
      <c r="K108">
        <v>200492</v>
      </c>
      <c r="L108">
        <v>50123</v>
      </c>
      <c r="M108" t="str">
        <f t="shared" si="3"/>
        <v>High Profit</v>
      </c>
    </row>
    <row r="109" spans="1:13">
      <c r="A109">
        <v>1116</v>
      </c>
      <c r="B109" s="1">
        <v>45773</v>
      </c>
      <c r="C109" t="s">
        <v>21</v>
      </c>
      <c r="D109" t="s">
        <v>22</v>
      </c>
      <c r="E109" t="s">
        <v>17</v>
      </c>
      <c r="F109" t="str">
        <f>INDEX(SalesData[Category],MATCH(SalesData[[#This Row],[Product]],SalesData[Product],0))</f>
        <v>Electronics</v>
      </c>
      <c r="G109" t="s">
        <v>18</v>
      </c>
      <c r="H109">
        <v>5</v>
      </c>
      <c r="I109">
        <v>50151</v>
      </c>
      <c r="J109">
        <v>250755</v>
      </c>
      <c r="K109">
        <v>200604</v>
      </c>
      <c r="L109">
        <v>50151</v>
      </c>
      <c r="M109" t="str">
        <f t="shared" si="3"/>
        <v>High Profit</v>
      </c>
    </row>
    <row r="110" spans="1:13">
      <c r="A110">
        <v>1009</v>
      </c>
      <c r="B110" s="1">
        <v>45666</v>
      </c>
      <c r="C110" t="s">
        <v>21</v>
      </c>
      <c r="D110" t="s">
        <v>22</v>
      </c>
      <c r="E110" t="s">
        <v>17</v>
      </c>
      <c r="F110" t="str">
        <f>INDEX(SalesData[Category],MATCH(SalesData[[#This Row],[Product]],SalesData[Product],0))</f>
        <v>Electronics</v>
      </c>
      <c r="G110" t="s">
        <v>18</v>
      </c>
      <c r="H110">
        <v>5</v>
      </c>
      <c r="I110">
        <v>50167</v>
      </c>
      <c r="J110">
        <v>250835</v>
      </c>
      <c r="K110">
        <v>200668</v>
      </c>
      <c r="L110">
        <v>50167</v>
      </c>
      <c r="M110" t="str">
        <f t="shared" si="3"/>
        <v>High Profit</v>
      </c>
    </row>
    <row r="111" spans="1:13">
      <c r="A111">
        <v>1189</v>
      </c>
      <c r="B111" s="1">
        <v>45846</v>
      </c>
      <c r="C111" t="s">
        <v>25</v>
      </c>
      <c r="D111" t="s">
        <v>22</v>
      </c>
      <c r="E111" t="s">
        <v>20</v>
      </c>
      <c r="F111" t="str">
        <f>INDEX(SalesData[Category],MATCH(SalesData[[#This Row],[Product]],SalesData[Product],0))</f>
        <v>Accessories</v>
      </c>
      <c r="G111" t="s">
        <v>14</v>
      </c>
      <c r="H111">
        <v>6</v>
      </c>
      <c r="I111">
        <v>611</v>
      </c>
      <c r="J111">
        <v>3666</v>
      </c>
      <c r="K111">
        <v>2932</v>
      </c>
      <c r="L111">
        <v>734</v>
      </c>
      <c r="M111" t="str">
        <f t="shared" si="3"/>
        <v>High Profit</v>
      </c>
    </row>
    <row r="112" spans="1:13">
      <c r="A112">
        <v>1130</v>
      </c>
      <c r="B112" s="1">
        <v>45787</v>
      </c>
      <c r="C112" t="s">
        <v>24</v>
      </c>
      <c r="D112" t="s">
        <v>22</v>
      </c>
      <c r="E112" t="s">
        <v>20</v>
      </c>
      <c r="F112" t="str">
        <f>INDEX(SalesData[Category],MATCH(SalesData[[#This Row],[Product]],SalesData[Product],0))</f>
        <v>Accessories</v>
      </c>
      <c r="G112" t="s">
        <v>14</v>
      </c>
      <c r="H112">
        <v>6</v>
      </c>
      <c r="I112">
        <v>631</v>
      </c>
      <c r="J112">
        <v>3786</v>
      </c>
      <c r="K112">
        <v>3028</v>
      </c>
      <c r="L112">
        <v>758</v>
      </c>
      <c r="M112" t="str">
        <f t="shared" si="3"/>
        <v>High Profit</v>
      </c>
    </row>
    <row r="113" spans="1:13">
      <c r="A113">
        <v>1015</v>
      </c>
      <c r="B113" s="1">
        <v>45672</v>
      </c>
      <c r="C113" t="s">
        <v>25</v>
      </c>
      <c r="D113" t="s">
        <v>16</v>
      </c>
      <c r="E113" t="s">
        <v>20</v>
      </c>
      <c r="F113" t="str">
        <f>INDEX(SalesData[Category],MATCH(SalesData[[#This Row],[Product]],SalesData[Product],0))</f>
        <v>Accessories</v>
      </c>
      <c r="G113" t="s">
        <v>14</v>
      </c>
      <c r="H113">
        <v>6</v>
      </c>
      <c r="I113">
        <v>654</v>
      </c>
      <c r="J113">
        <v>3924</v>
      </c>
      <c r="K113">
        <v>3139</v>
      </c>
      <c r="L113">
        <v>785</v>
      </c>
      <c r="M113" t="str">
        <f t="shared" si="3"/>
        <v>High Profit</v>
      </c>
    </row>
    <row r="114" spans="1:13">
      <c r="A114">
        <v>1147</v>
      </c>
      <c r="B114" s="1">
        <v>45804</v>
      </c>
      <c r="C114" t="s">
        <v>25</v>
      </c>
      <c r="D114" t="s">
        <v>15</v>
      </c>
      <c r="E114" t="s">
        <v>20</v>
      </c>
      <c r="F114" t="str">
        <f>INDEX(SalesData[Category],MATCH(SalesData[[#This Row],[Product]],SalesData[Product],0))</f>
        <v>Accessories</v>
      </c>
      <c r="G114" t="s">
        <v>14</v>
      </c>
      <c r="H114">
        <v>6</v>
      </c>
      <c r="I114">
        <v>721</v>
      </c>
      <c r="J114">
        <v>4326</v>
      </c>
      <c r="K114">
        <v>3460</v>
      </c>
      <c r="L114">
        <v>866</v>
      </c>
      <c r="M114" t="str">
        <f t="shared" si="3"/>
        <v>High Profit</v>
      </c>
    </row>
    <row r="115" spans="1:13">
      <c r="A115">
        <v>1120</v>
      </c>
      <c r="B115" s="1">
        <v>45777</v>
      </c>
      <c r="C115" t="s">
        <v>24</v>
      </c>
      <c r="D115" t="s">
        <v>26</v>
      </c>
      <c r="E115" t="s">
        <v>13</v>
      </c>
      <c r="F115" t="str">
        <f>INDEX(SalesData[Category],MATCH(SalesData[[#This Row],[Product]],SalesData[Product],0))</f>
        <v xml:space="preserve">        Accessories</v>
      </c>
      <c r="G115" t="s">
        <v>14</v>
      </c>
      <c r="H115">
        <v>6</v>
      </c>
      <c r="I115">
        <v>1081</v>
      </c>
      <c r="J115">
        <v>6486</v>
      </c>
      <c r="K115">
        <v>5188</v>
      </c>
      <c r="L115">
        <v>1298</v>
      </c>
      <c r="M115" t="str">
        <f t="shared" si="3"/>
        <v>High Profit</v>
      </c>
    </row>
    <row r="116" spans="1:13">
      <c r="A116">
        <v>1176</v>
      </c>
      <c r="B116" s="1">
        <v>45833</v>
      </c>
      <c r="C116" t="s">
        <v>11</v>
      </c>
      <c r="D116" t="s">
        <v>22</v>
      </c>
      <c r="E116" t="s">
        <v>13</v>
      </c>
      <c r="F116" t="str">
        <f>INDEX(SalesData[Category],MATCH(SalesData[[#This Row],[Product]],SalesData[Product],0))</f>
        <v xml:space="preserve">        Accessories</v>
      </c>
      <c r="G116" t="s">
        <v>14</v>
      </c>
      <c r="H116">
        <v>6</v>
      </c>
      <c r="I116">
        <v>1112</v>
      </c>
      <c r="J116">
        <v>6672</v>
      </c>
      <c r="K116">
        <v>5337</v>
      </c>
      <c r="L116">
        <v>1335</v>
      </c>
      <c r="M116" t="str">
        <f t="shared" si="3"/>
        <v>High Profit</v>
      </c>
    </row>
    <row r="117" spans="1:13">
      <c r="A117">
        <v>1023</v>
      </c>
      <c r="B117" s="1">
        <v>45680</v>
      </c>
      <c r="C117" t="s">
        <v>11</v>
      </c>
      <c r="D117" t="s">
        <v>22</v>
      </c>
      <c r="E117" t="s">
        <v>13</v>
      </c>
      <c r="F117" t="str">
        <f>INDEX(SalesData[Category],MATCH(SalesData[[#This Row],[Product]],SalesData[Product],0))</f>
        <v xml:space="preserve">        Accessories</v>
      </c>
      <c r="G117" t="s">
        <v>14</v>
      </c>
      <c r="H117">
        <v>6</v>
      </c>
      <c r="I117">
        <v>1147</v>
      </c>
      <c r="J117">
        <v>6882</v>
      </c>
      <c r="K117">
        <v>5505</v>
      </c>
      <c r="L117">
        <v>1377</v>
      </c>
      <c r="M117" t="str">
        <f t="shared" si="3"/>
        <v>High Profit</v>
      </c>
    </row>
    <row r="118" spans="1:13">
      <c r="A118">
        <v>1025</v>
      </c>
      <c r="B118" s="1">
        <v>45682</v>
      </c>
      <c r="C118" t="s">
        <v>11</v>
      </c>
      <c r="D118" t="s">
        <v>22</v>
      </c>
      <c r="E118" t="s">
        <v>13</v>
      </c>
      <c r="F118" t="str">
        <f>INDEX(SalesData[Category],MATCH(SalesData[[#This Row],[Product]],SalesData[Product],0))</f>
        <v xml:space="preserve">        Accessories</v>
      </c>
      <c r="G118" t="s">
        <v>14</v>
      </c>
      <c r="H118">
        <v>6</v>
      </c>
      <c r="I118">
        <v>1377</v>
      </c>
      <c r="J118">
        <v>8262</v>
      </c>
      <c r="K118">
        <v>6609</v>
      </c>
      <c r="L118">
        <v>1653</v>
      </c>
      <c r="M118" t="str">
        <f t="shared" si="3"/>
        <v>High Profit</v>
      </c>
    </row>
    <row r="119" spans="1:13">
      <c r="A119">
        <v>1031</v>
      </c>
      <c r="B119" s="1">
        <v>45688</v>
      </c>
      <c r="C119" t="s">
        <v>11</v>
      </c>
      <c r="D119" t="s">
        <v>19</v>
      </c>
      <c r="E119" t="s">
        <v>23</v>
      </c>
      <c r="F119" t="str">
        <f>INDEX(SalesData[Category],MATCH(SalesData[[#This Row],[Product]],SalesData[Product],0))</f>
        <v>Accessories</v>
      </c>
      <c r="G119" t="s">
        <v>14</v>
      </c>
      <c r="H119">
        <v>6</v>
      </c>
      <c r="I119">
        <v>2857</v>
      </c>
      <c r="J119">
        <v>17142</v>
      </c>
      <c r="K119">
        <v>13713</v>
      </c>
      <c r="L119">
        <v>3429</v>
      </c>
      <c r="M119" t="str">
        <f t="shared" si="3"/>
        <v>High Profit</v>
      </c>
    </row>
    <row r="120" spans="1:13">
      <c r="A120">
        <v>1094</v>
      </c>
      <c r="B120" s="1">
        <v>45751</v>
      </c>
      <c r="C120" t="s">
        <v>24</v>
      </c>
      <c r="D120" t="s">
        <v>16</v>
      </c>
      <c r="E120" t="s">
        <v>23</v>
      </c>
      <c r="F120" t="str">
        <f>INDEX(SalesData[Category],MATCH(SalesData[[#This Row],[Product]],SalesData[Product],0))</f>
        <v>Accessories</v>
      </c>
      <c r="G120" t="s">
        <v>14</v>
      </c>
      <c r="H120">
        <v>6</v>
      </c>
      <c r="I120">
        <v>2992</v>
      </c>
      <c r="J120">
        <v>17952</v>
      </c>
      <c r="K120">
        <v>14361</v>
      </c>
      <c r="L120">
        <v>3591</v>
      </c>
      <c r="M120" t="str">
        <f t="shared" si="3"/>
        <v>High Profit</v>
      </c>
    </row>
    <row r="121" spans="1:13">
      <c r="A121">
        <v>1079</v>
      </c>
      <c r="B121" s="1">
        <v>45736</v>
      </c>
      <c r="C121" t="s">
        <v>24</v>
      </c>
      <c r="D121" t="s">
        <v>19</v>
      </c>
      <c r="E121" t="s">
        <v>23</v>
      </c>
      <c r="F121" t="str">
        <f>INDEX(SalesData[Category],MATCH(SalesData[[#This Row],[Product]],SalesData[Product],0))</f>
        <v>Accessories</v>
      </c>
      <c r="G121" t="s">
        <v>14</v>
      </c>
      <c r="H121">
        <v>6</v>
      </c>
      <c r="I121">
        <v>3120</v>
      </c>
      <c r="J121">
        <v>18720</v>
      </c>
      <c r="K121">
        <v>14976</v>
      </c>
      <c r="L121">
        <v>3744</v>
      </c>
      <c r="M121" t="str">
        <f t="shared" si="3"/>
        <v>High Profit</v>
      </c>
    </row>
    <row r="122" spans="1:13">
      <c r="A122">
        <v>1159</v>
      </c>
      <c r="B122" s="1">
        <v>45816</v>
      </c>
      <c r="C122" t="s">
        <v>21</v>
      </c>
      <c r="D122" t="s">
        <v>16</v>
      </c>
      <c r="E122" t="s">
        <v>23</v>
      </c>
      <c r="F122" t="str">
        <f>INDEX(SalesData[Category],MATCH(SalesData[[#This Row],[Product]],SalesData[Product],0))</f>
        <v>Accessories</v>
      </c>
      <c r="G122" t="s">
        <v>14</v>
      </c>
      <c r="H122">
        <v>6</v>
      </c>
      <c r="I122">
        <v>3161</v>
      </c>
      <c r="J122">
        <v>18966</v>
      </c>
      <c r="K122">
        <v>15172</v>
      </c>
      <c r="L122">
        <v>3794</v>
      </c>
      <c r="M122" t="str">
        <f t="shared" si="3"/>
        <v>High Profit</v>
      </c>
    </row>
    <row r="123" spans="1:13">
      <c r="A123">
        <v>1081</v>
      </c>
      <c r="B123" s="1">
        <v>45738</v>
      </c>
      <c r="C123" t="s">
        <v>11</v>
      </c>
      <c r="D123" t="s">
        <v>19</v>
      </c>
      <c r="E123" t="s">
        <v>29</v>
      </c>
      <c r="F123" t="str">
        <f>INDEX(SalesData[Category],MATCH(SalesData[[#This Row],[Product]],SalesData[Product],0))</f>
        <v>Electronics</v>
      </c>
      <c r="G123" t="s">
        <v>18</v>
      </c>
      <c r="H123">
        <v>6</v>
      </c>
      <c r="I123">
        <v>24880</v>
      </c>
      <c r="J123">
        <v>149280</v>
      </c>
      <c r="K123">
        <v>119424</v>
      </c>
      <c r="L123">
        <v>29856</v>
      </c>
      <c r="M123" t="str">
        <f t="shared" si="3"/>
        <v>High Profit</v>
      </c>
    </row>
    <row r="124" spans="1:13">
      <c r="A124">
        <v>1121</v>
      </c>
      <c r="B124" s="1">
        <v>45778</v>
      </c>
      <c r="C124" t="s">
        <v>24</v>
      </c>
      <c r="D124" t="s">
        <v>12</v>
      </c>
      <c r="E124" t="s">
        <v>29</v>
      </c>
      <c r="F124" t="str">
        <f>INDEX(SalesData[Category],MATCH(SalesData[[#This Row],[Product]],SalesData[Product],0))</f>
        <v>Electronics</v>
      </c>
      <c r="G124" t="s">
        <v>18</v>
      </c>
      <c r="H124">
        <v>6</v>
      </c>
      <c r="I124">
        <v>24944</v>
      </c>
      <c r="J124">
        <v>149664</v>
      </c>
      <c r="K124">
        <v>119731</v>
      </c>
      <c r="L124">
        <v>29933</v>
      </c>
      <c r="M124" t="str">
        <f t="shared" si="3"/>
        <v>High Profit</v>
      </c>
    </row>
    <row r="125" spans="1:13">
      <c r="A125">
        <v>1046</v>
      </c>
      <c r="B125" s="1">
        <v>45703</v>
      </c>
      <c r="C125" t="s">
        <v>21</v>
      </c>
      <c r="D125" t="s">
        <v>16</v>
      </c>
      <c r="E125" t="s">
        <v>17</v>
      </c>
      <c r="F125" t="str">
        <f>INDEX(SalesData[Category],MATCH(SalesData[[#This Row],[Product]],SalesData[Product],0))</f>
        <v>Electronics</v>
      </c>
      <c r="G125" t="s">
        <v>18</v>
      </c>
      <c r="H125">
        <v>6</v>
      </c>
      <c r="I125">
        <v>49822</v>
      </c>
      <c r="J125">
        <v>298932</v>
      </c>
      <c r="K125">
        <v>239145</v>
      </c>
      <c r="L125">
        <v>59787</v>
      </c>
      <c r="M125" t="str">
        <f t="shared" si="3"/>
        <v>High Profit</v>
      </c>
    </row>
    <row r="126" spans="1:13">
      <c r="A126">
        <v>1018</v>
      </c>
      <c r="B126" s="1">
        <v>45675</v>
      </c>
      <c r="C126" t="s">
        <v>21</v>
      </c>
      <c r="D126" t="s">
        <v>22</v>
      </c>
      <c r="E126" t="s">
        <v>17</v>
      </c>
      <c r="F126" t="str">
        <f>INDEX(SalesData[Category],MATCH(SalesData[[#This Row],[Product]],SalesData[Product],0))</f>
        <v>Electronics</v>
      </c>
      <c r="G126" t="s">
        <v>18</v>
      </c>
      <c r="H126">
        <v>6</v>
      </c>
      <c r="I126">
        <v>49882</v>
      </c>
      <c r="J126">
        <v>299292</v>
      </c>
      <c r="K126">
        <v>239433</v>
      </c>
      <c r="L126">
        <v>59859</v>
      </c>
      <c r="M126" t="str">
        <f t="shared" si="3"/>
        <v>High Profit</v>
      </c>
    </row>
    <row r="127" spans="1:13">
      <c r="A127">
        <v>1108</v>
      </c>
      <c r="B127" s="1">
        <v>45765</v>
      </c>
      <c r="C127" t="s">
        <v>11</v>
      </c>
      <c r="D127" t="s">
        <v>15</v>
      </c>
      <c r="E127" t="s">
        <v>17</v>
      </c>
      <c r="F127" t="str">
        <f>INDEX(SalesData[Category],MATCH(SalesData[[#This Row],[Product]],SalesData[Product],0))</f>
        <v>Electronics</v>
      </c>
      <c r="G127" t="s">
        <v>18</v>
      </c>
      <c r="H127">
        <v>6</v>
      </c>
      <c r="I127">
        <v>50028</v>
      </c>
      <c r="J127">
        <v>300168</v>
      </c>
      <c r="K127">
        <v>240134</v>
      </c>
      <c r="L127">
        <v>60034</v>
      </c>
      <c r="M127" t="str">
        <f t="shared" si="3"/>
        <v>High Profit</v>
      </c>
    </row>
    <row r="128" spans="1:13">
      <c r="A128">
        <v>1115</v>
      </c>
      <c r="B128" s="1">
        <v>45772</v>
      </c>
      <c r="C128" t="s">
        <v>24</v>
      </c>
      <c r="D128" t="s">
        <v>15</v>
      </c>
      <c r="E128" t="s">
        <v>17</v>
      </c>
      <c r="F128" t="str">
        <f>INDEX(SalesData[Category],MATCH(SalesData[[#This Row],[Product]],SalesData[Product],0))</f>
        <v>Electronics</v>
      </c>
      <c r="G128" t="s">
        <v>18</v>
      </c>
      <c r="H128">
        <v>6</v>
      </c>
      <c r="I128">
        <v>50101</v>
      </c>
      <c r="J128">
        <v>300606</v>
      </c>
      <c r="K128">
        <v>240484</v>
      </c>
      <c r="L128">
        <v>60122</v>
      </c>
      <c r="M128" t="str">
        <f t="shared" si="3"/>
        <v>High Profit</v>
      </c>
    </row>
    <row r="129" spans="1:13">
      <c r="A129">
        <v>1119</v>
      </c>
      <c r="B129" s="1">
        <v>45776</v>
      </c>
      <c r="C129" t="s">
        <v>25</v>
      </c>
      <c r="D129" t="s">
        <v>16</v>
      </c>
      <c r="E129" t="s">
        <v>20</v>
      </c>
      <c r="F129" t="str">
        <f>INDEX(SalesData[Category],MATCH(SalesData[[#This Row],[Product]],SalesData[Product],0))</f>
        <v>Accessories</v>
      </c>
      <c r="G129" t="s">
        <v>14</v>
      </c>
      <c r="H129">
        <v>7</v>
      </c>
      <c r="I129">
        <v>747</v>
      </c>
      <c r="J129">
        <v>5229</v>
      </c>
      <c r="K129">
        <v>4183</v>
      </c>
      <c r="L129">
        <v>1046</v>
      </c>
      <c r="M129" t="str">
        <f t="shared" si="3"/>
        <v>High Profit</v>
      </c>
    </row>
    <row r="130" spans="1:13">
      <c r="A130">
        <v>1085</v>
      </c>
      <c r="B130" s="1">
        <v>45742</v>
      </c>
      <c r="C130" t="s">
        <v>24</v>
      </c>
      <c r="D130" t="s">
        <v>19</v>
      </c>
      <c r="E130" t="s">
        <v>13</v>
      </c>
      <c r="F130" t="str">
        <f>INDEX(SalesData[Category],MATCH(SalesData[[#This Row],[Product]],SalesData[Product],0))</f>
        <v xml:space="preserve">        Accessories</v>
      </c>
      <c r="G130" t="s">
        <v>14</v>
      </c>
      <c r="H130">
        <v>7</v>
      </c>
      <c r="I130">
        <v>1192</v>
      </c>
      <c r="J130">
        <v>8344</v>
      </c>
      <c r="K130">
        <v>6675</v>
      </c>
      <c r="L130">
        <v>1669</v>
      </c>
      <c r="M130" t="str">
        <f t="shared" ref="M130:M161" si="4">IF(L130&gt;200,"High Profit","Low Profit")</f>
        <v>High Profit</v>
      </c>
    </row>
    <row r="131" spans="1:13">
      <c r="A131">
        <v>1001</v>
      </c>
      <c r="B131" s="1">
        <v>45658</v>
      </c>
      <c r="C131" t="s">
        <v>11</v>
      </c>
      <c r="D131" t="s">
        <v>12</v>
      </c>
      <c r="E131" t="s">
        <v>13</v>
      </c>
      <c r="F131" t="str">
        <f>INDEX(SalesData[Category],MATCH(SalesData[[#This Row],[Product]],SalesData[Product],0))</f>
        <v xml:space="preserve">        Accessories</v>
      </c>
      <c r="G131" t="s">
        <v>14</v>
      </c>
      <c r="H131">
        <v>7</v>
      </c>
      <c r="I131">
        <v>1259</v>
      </c>
      <c r="J131">
        <v>8813</v>
      </c>
      <c r="K131">
        <v>7050</v>
      </c>
      <c r="L131">
        <v>1763</v>
      </c>
      <c r="M131" t="str">
        <f t="shared" si="4"/>
        <v>High Profit</v>
      </c>
    </row>
    <row r="132" spans="1:13">
      <c r="A132">
        <v>1042</v>
      </c>
      <c r="B132" s="1">
        <v>45699</v>
      </c>
      <c r="C132" t="s">
        <v>24</v>
      </c>
      <c r="D132" t="s">
        <v>12</v>
      </c>
      <c r="E132" t="s">
        <v>13</v>
      </c>
      <c r="F132" t="str">
        <f>INDEX(SalesData[Category],MATCH(SalesData[[#This Row],[Product]],SalesData[Product],0))</f>
        <v xml:space="preserve">        Accessories</v>
      </c>
      <c r="G132" t="s">
        <v>14</v>
      </c>
      <c r="H132">
        <v>7</v>
      </c>
      <c r="I132">
        <v>1344</v>
      </c>
      <c r="J132">
        <v>9408</v>
      </c>
      <c r="K132">
        <v>7526</v>
      </c>
      <c r="L132">
        <v>1882</v>
      </c>
      <c r="M132" t="str">
        <f t="shared" si="4"/>
        <v>High Profit</v>
      </c>
    </row>
    <row r="133" spans="1:13">
      <c r="A133">
        <v>1061</v>
      </c>
      <c r="B133" s="1">
        <v>45718</v>
      </c>
      <c r="C133" t="s">
        <v>21</v>
      </c>
      <c r="D133" t="s">
        <v>26</v>
      </c>
      <c r="E133" t="s">
        <v>23</v>
      </c>
      <c r="F133" t="str">
        <f>INDEX(SalesData[Category],MATCH(SalesData[[#This Row],[Product]],SalesData[Product],0))</f>
        <v>Accessories</v>
      </c>
      <c r="G133" t="s">
        <v>14</v>
      </c>
      <c r="H133">
        <v>7</v>
      </c>
      <c r="I133">
        <v>2867</v>
      </c>
      <c r="J133">
        <v>20069</v>
      </c>
      <c r="K133">
        <v>16055</v>
      </c>
      <c r="L133">
        <v>4014</v>
      </c>
      <c r="M133" t="str">
        <f t="shared" si="4"/>
        <v>High Profit</v>
      </c>
    </row>
    <row r="134" spans="1:13">
      <c r="A134">
        <v>1071</v>
      </c>
      <c r="B134" s="1">
        <v>45728</v>
      </c>
      <c r="C134" t="s">
        <v>24</v>
      </c>
      <c r="D134" t="s">
        <v>16</v>
      </c>
      <c r="E134" t="s">
        <v>27</v>
      </c>
      <c r="F134" t="str">
        <f>INDEX(SalesData[Category],MATCH(SalesData[[#This Row],[Product]],SalesData[Product],0))</f>
        <v>Electronics</v>
      </c>
      <c r="G134" t="s">
        <v>18</v>
      </c>
      <c r="H134">
        <v>7</v>
      </c>
      <c r="I134">
        <v>11962</v>
      </c>
      <c r="J134">
        <v>83734</v>
      </c>
      <c r="K134">
        <v>66987</v>
      </c>
      <c r="L134">
        <v>16747</v>
      </c>
      <c r="M134" t="str">
        <f t="shared" si="4"/>
        <v>High Profit</v>
      </c>
    </row>
    <row r="135" spans="1:13">
      <c r="A135">
        <v>1062</v>
      </c>
      <c r="B135" s="1">
        <v>45719</v>
      </c>
      <c r="C135" t="s">
        <v>25</v>
      </c>
      <c r="D135" t="s">
        <v>12</v>
      </c>
      <c r="E135" t="s">
        <v>27</v>
      </c>
      <c r="F135" t="str">
        <f>INDEX(SalesData[Category],MATCH(SalesData[[#This Row],[Product]],SalesData[Product],0))</f>
        <v>Electronics</v>
      </c>
      <c r="G135" t="s">
        <v>18</v>
      </c>
      <c r="H135">
        <v>7</v>
      </c>
      <c r="I135">
        <v>11994</v>
      </c>
      <c r="J135">
        <v>83958</v>
      </c>
      <c r="K135">
        <v>67166</v>
      </c>
      <c r="L135">
        <v>16792</v>
      </c>
      <c r="M135" t="str">
        <f t="shared" si="4"/>
        <v>High Profit</v>
      </c>
    </row>
    <row r="136" spans="1:13">
      <c r="A136">
        <v>1158</v>
      </c>
      <c r="B136" s="1">
        <v>45815</v>
      </c>
      <c r="C136" t="s">
        <v>24</v>
      </c>
      <c r="D136" t="s">
        <v>22</v>
      </c>
      <c r="E136" t="s">
        <v>28</v>
      </c>
      <c r="F136" t="str">
        <f>INDEX(SalesData[Category],MATCH(SalesData[[#This Row],[Product]],SalesData[Product],0))</f>
        <v>Electronics</v>
      </c>
      <c r="G136" t="s">
        <v>18</v>
      </c>
      <c r="H136">
        <v>7</v>
      </c>
      <c r="I136">
        <v>15032</v>
      </c>
      <c r="J136">
        <v>105224</v>
      </c>
      <c r="K136">
        <v>84179</v>
      </c>
      <c r="L136">
        <v>21045</v>
      </c>
      <c r="M136" t="str">
        <f t="shared" si="4"/>
        <v>High Profit</v>
      </c>
    </row>
    <row r="137" spans="1:13">
      <c r="A137">
        <v>1055</v>
      </c>
      <c r="B137" s="1">
        <v>45712</v>
      </c>
      <c r="C137" t="s">
        <v>24</v>
      </c>
      <c r="D137" t="s">
        <v>26</v>
      </c>
      <c r="E137" t="s">
        <v>29</v>
      </c>
      <c r="F137" t="str">
        <f>INDEX(SalesData[Category],MATCH(SalesData[[#This Row],[Product]],SalesData[Product],0))</f>
        <v>Electronics</v>
      </c>
      <c r="G137" t="s">
        <v>18</v>
      </c>
      <c r="H137">
        <v>7</v>
      </c>
      <c r="I137">
        <v>24944</v>
      </c>
      <c r="J137">
        <v>174608</v>
      </c>
      <c r="K137">
        <v>139686</v>
      </c>
      <c r="L137">
        <v>34922</v>
      </c>
      <c r="M137" t="str">
        <f t="shared" si="4"/>
        <v>High Profit</v>
      </c>
    </row>
    <row r="138" spans="1:13">
      <c r="A138">
        <v>1069</v>
      </c>
      <c r="B138" s="1">
        <v>45726</v>
      </c>
      <c r="C138" t="s">
        <v>24</v>
      </c>
      <c r="D138" t="s">
        <v>26</v>
      </c>
      <c r="E138" t="s">
        <v>29</v>
      </c>
      <c r="F138" t="str">
        <f>INDEX(SalesData[Category],MATCH(SalesData[[#This Row],[Product]],SalesData[Product],0))</f>
        <v>Electronics</v>
      </c>
      <c r="G138" t="s">
        <v>18</v>
      </c>
      <c r="H138">
        <v>7</v>
      </c>
      <c r="I138">
        <v>25184</v>
      </c>
      <c r="J138">
        <v>176288</v>
      </c>
      <c r="K138">
        <v>141030</v>
      </c>
      <c r="L138">
        <v>35258</v>
      </c>
      <c r="M138" t="str">
        <f t="shared" si="4"/>
        <v>High Profit</v>
      </c>
    </row>
    <row r="139" spans="1:13">
      <c r="A139">
        <v>1037</v>
      </c>
      <c r="B139" s="1">
        <v>45694</v>
      </c>
      <c r="C139" t="s">
        <v>21</v>
      </c>
      <c r="D139" t="s">
        <v>16</v>
      </c>
      <c r="E139" t="s">
        <v>17</v>
      </c>
      <c r="F139" t="str">
        <f>INDEX(SalesData[Category],MATCH(SalesData[[#This Row],[Product]],SalesData[Product],0))</f>
        <v>Electronics</v>
      </c>
      <c r="G139" t="s">
        <v>18</v>
      </c>
      <c r="H139">
        <v>7</v>
      </c>
      <c r="I139">
        <v>49804</v>
      </c>
      <c r="J139">
        <v>348628</v>
      </c>
      <c r="K139">
        <v>278902</v>
      </c>
      <c r="L139">
        <v>69726</v>
      </c>
      <c r="M139" t="str">
        <f t="shared" si="4"/>
        <v>High Profit</v>
      </c>
    </row>
    <row r="140" spans="1:13">
      <c r="A140">
        <v>1124</v>
      </c>
      <c r="B140" s="1">
        <v>45781</v>
      </c>
      <c r="C140" t="s">
        <v>24</v>
      </c>
      <c r="D140" t="s">
        <v>19</v>
      </c>
      <c r="E140" t="s">
        <v>20</v>
      </c>
      <c r="F140" t="str">
        <f>INDEX(SalesData[Category],MATCH(SalesData[[#This Row],[Product]],SalesData[Product],0))</f>
        <v>Accessories</v>
      </c>
      <c r="G140" t="s">
        <v>14</v>
      </c>
      <c r="H140">
        <v>8</v>
      </c>
      <c r="I140">
        <v>626</v>
      </c>
      <c r="J140">
        <v>5008</v>
      </c>
      <c r="K140">
        <v>4006</v>
      </c>
      <c r="L140">
        <v>1002</v>
      </c>
      <c r="M140" t="str">
        <f t="shared" si="4"/>
        <v>High Profit</v>
      </c>
    </row>
    <row r="141" spans="1:13">
      <c r="A141">
        <v>1054</v>
      </c>
      <c r="B141" s="1">
        <v>45711</v>
      </c>
      <c r="C141" t="s">
        <v>11</v>
      </c>
      <c r="D141" t="s">
        <v>12</v>
      </c>
      <c r="E141" t="s">
        <v>20</v>
      </c>
      <c r="F141" t="str">
        <f>INDEX(SalesData[Category],MATCH(SalesData[[#This Row],[Product]],SalesData[Product],0))</f>
        <v>Accessories</v>
      </c>
      <c r="G141" t="s">
        <v>14</v>
      </c>
      <c r="H141">
        <v>8</v>
      </c>
      <c r="I141">
        <v>658</v>
      </c>
      <c r="J141">
        <v>5264</v>
      </c>
      <c r="K141">
        <v>4211</v>
      </c>
      <c r="L141">
        <v>1053</v>
      </c>
      <c r="M141" t="str">
        <f t="shared" si="4"/>
        <v>High Profit</v>
      </c>
    </row>
    <row r="142" spans="1:13">
      <c r="A142">
        <v>1084</v>
      </c>
      <c r="B142" s="1">
        <v>45741</v>
      </c>
      <c r="C142" t="s">
        <v>21</v>
      </c>
      <c r="D142" t="s">
        <v>15</v>
      </c>
      <c r="E142" t="s">
        <v>20</v>
      </c>
      <c r="F142" t="str">
        <f>INDEX(SalesData[Category],MATCH(SalesData[[#This Row],[Product]],SalesData[Product],0))</f>
        <v>Accessories</v>
      </c>
      <c r="G142" t="s">
        <v>14</v>
      </c>
      <c r="H142">
        <v>8</v>
      </c>
      <c r="I142">
        <v>701</v>
      </c>
      <c r="J142">
        <v>5608</v>
      </c>
      <c r="K142">
        <v>4486</v>
      </c>
      <c r="L142">
        <v>1122</v>
      </c>
      <c r="M142" t="str">
        <f t="shared" si="4"/>
        <v>High Profit</v>
      </c>
    </row>
    <row r="143" spans="1:13">
      <c r="A143">
        <v>1190</v>
      </c>
      <c r="B143" s="1">
        <v>45847</v>
      </c>
      <c r="C143" t="s">
        <v>21</v>
      </c>
      <c r="D143" t="s">
        <v>12</v>
      </c>
      <c r="E143" t="s">
        <v>13</v>
      </c>
      <c r="F143" t="str">
        <f>INDEX(SalesData[Category],MATCH(SalesData[[#This Row],[Product]],SalesData[Product],0))</f>
        <v xml:space="preserve">        Accessories</v>
      </c>
      <c r="G143" t="s">
        <v>14</v>
      </c>
      <c r="H143">
        <v>8</v>
      </c>
      <c r="I143">
        <v>1057</v>
      </c>
      <c r="J143">
        <v>8456</v>
      </c>
      <c r="K143">
        <v>6764</v>
      </c>
      <c r="L143">
        <v>1692</v>
      </c>
      <c r="M143" t="str">
        <f t="shared" si="4"/>
        <v>High Profit</v>
      </c>
    </row>
    <row r="144" spans="1:13">
      <c r="A144">
        <v>1185</v>
      </c>
      <c r="B144" s="1">
        <v>45842</v>
      </c>
      <c r="C144" t="s">
        <v>11</v>
      </c>
      <c r="D144" t="s">
        <v>15</v>
      </c>
      <c r="E144" t="s">
        <v>13</v>
      </c>
      <c r="F144" t="str">
        <f>INDEX(SalesData[Category],MATCH(SalesData[[#This Row],[Product]],SalesData[Product],0))</f>
        <v xml:space="preserve">        Accessories</v>
      </c>
      <c r="G144" t="s">
        <v>14</v>
      </c>
      <c r="H144">
        <v>8</v>
      </c>
      <c r="I144">
        <v>1113</v>
      </c>
      <c r="J144">
        <v>8904</v>
      </c>
      <c r="K144">
        <v>7123</v>
      </c>
      <c r="L144">
        <v>1781</v>
      </c>
      <c r="M144" t="str">
        <f t="shared" si="4"/>
        <v>High Profit</v>
      </c>
    </row>
    <row r="145" spans="1:13">
      <c r="A145">
        <v>1136</v>
      </c>
      <c r="B145" s="1">
        <v>45793</v>
      </c>
      <c r="C145" t="s">
        <v>21</v>
      </c>
      <c r="D145" t="s">
        <v>22</v>
      </c>
      <c r="E145" t="s">
        <v>13</v>
      </c>
      <c r="F145" t="str">
        <f>INDEX(SalesData[Category],MATCH(SalesData[[#This Row],[Product]],SalesData[Product],0))</f>
        <v xml:space="preserve">        Accessories</v>
      </c>
      <c r="G145" t="s">
        <v>14</v>
      </c>
      <c r="H145">
        <v>8</v>
      </c>
      <c r="I145">
        <v>1133</v>
      </c>
      <c r="J145">
        <v>9064</v>
      </c>
      <c r="K145">
        <v>7251</v>
      </c>
      <c r="L145">
        <v>1813</v>
      </c>
      <c r="M145" t="str">
        <f t="shared" si="4"/>
        <v>High Profit</v>
      </c>
    </row>
    <row r="146" spans="1:13">
      <c r="A146">
        <v>1002</v>
      </c>
      <c r="B146" s="1">
        <v>45659</v>
      </c>
      <c r="C146" t="s">
        <v>11</v>
      </c>
      <c r="D146" t="s">
        <v>15</v>
      </c>
      <c r="E146" t="s">
        <v>13</v>
      </c>
      <c r="F146" t="str">
        <f>INDEX(SalesData[Category],MATCH(SalesData[[#This Row],[Product]],SalesData[Product],0))</f>
        <v xml:space="preserve">        Accessories</v>
      </c>
      <c r="G146" t="s">
        <v>14</v>
      </c>
      <c r="H146">
        <v>8</v>
      </c>
      <c r="I146">
        <v>1179</v>
      </c>
      <c r="J146">
        <v>9432</v>
      </c>
      <c r="K146">
        <v>7545</v>
      </c>
      <c r="L146">
        <v>1887</v>
      </c>
      <c r="M146" t="str">
        <f t="shared" si="4"/>
        <v>High Profit</v>
      </c>
    </row>
    <row r="147" spans="1:13">
      <c r="A147">
        <v>1161</v>
      </c>
      <c r="B147" s="1">
        <v>45818</v>
      </c>
      <c r="C147" t="s">
        <v>24</v>
      </c>
      <c r="D147" t="s">
        <v>12</v>
      </c>
      <c r="E147" t="s">
        <v>13</v>
      </c>
      <c r="F147" t="str">
        <f>INDEX(SalesData[Category],MATCH(SalesData[[#This Row],[Product]],SalesData[Product],0))</f>
        <v xml:space="preserve">        Accessories</v>
      </c>
      <c r="G147" t="s">
        <v>14</v>
      </c>
      <c r="H147">
        <v>8</v>
      </c>
      <c r="I147">
        <v>1271</v>
      </c>
      <c r="J147">
        <v>10168</v>
      </c>
      <c r="K147">
        <v>8134</v>
      </c>
      <c r="L147">
        <v>2034</v>
      </c>
      <c r="M147" t="str">
        <f t="shared" si="4"/>
        <v>High Profit</v>
      </c>
    </row>
    <row r="148" spans="1:13">
      <c r="A148">
        <v>1113</v>
      </c>
      <c r="B148" s="1">
        <v>45770</v>
      </c>
      <c r="C148" t="s">
        <v>11</v>
      </c>
      <c r="D148" t="s">
        <v>15</v>
      </c>
      <c r="E148" t="s">
        <v>23</v>
      </c>
      <c r="F148" t="str">
        <f>INDEX(SalesData[Category],MATCH(SalesData[[#This Row],[Product]],SalesData[Product],0))</f>
        <v>Accessories</v>
      </c>
      <c r="G148" t="s">
        <v>14</v>
      </c>
      <c r="H148">
        <v>8</v>
      </c>
      <c r="I148">
        <v>2883</v>
      </c>
      <c r="J148">
        <v>23064</v>
      </c>
      <c r="K148">
        <v>18451</v>
      </c>
      <c r="L148">
        <v>4613</v>
      </c>
      <c r="M148" t="str">
        <f t="shared" si="4"/>
        <v>High Profit</v>
      </c>
    </row>
    <row r="149" spans="1:13">
      <c r="A149">
        <v>1177</v>
      </c>
      <c r="B149" s="1">
        <v>45834</v>
      </c>
      <c r="C149" t="s">
        <v>11</v>
      </c>
      <c r="D149" t="s">
        <v>16</v>
      </c>
      <c r="E149" t="s">
        <v>23</v>
      </c>
      <c r="F149" t="str">
        <f>INDEX(SalesData[Category],MATCH(SalesData[[#This Row],[Product]],SalesData[Product],0))</f>
        <v>Accessories</v>
      </c>
      <c r="G149" t="s">
        <v>14</v>
      </c>
      <c r="H149">
        <v>8</v>
      </c>
      <c r="I149">
        <v>2926</v>
      </c>
      <c r="J149">
        <v>23408</v>
      </c>
      <c r="K149">
        <v>18726</v>
      </c>
      <c r="L149">
        <v>4682</v>
      </c>
      <c r="M149" t="str">
        <f t="shared" si="4"/>
        <v>High Profit</v>
      </c>
    </row>
    <row r="150" spans="1:13">
      <c r="A150">
        <v>1168</v>
      </c>
      <c r="B150" s="1">
        <v>45825</v>
      </c>
      <c r="C150" t="s">
        <v>25</v>
      </c>
      <c r="D150" t="s">
        <v>19</v>
      </c>
      <c r="E150" t="s">
        <v>23</v>
      </c>
      <c r="F150" t="str">
        <f>INDEX(SalesData[Category],MATCH(SalesData[[#This Row],[Product]],SalesData[Product],0))</f>
        <v>Accessories</v>
      </c>
      <c r="G150" t="s">
        <v>14</v>
      </c>
      <c r="H150">
        <v>8</v>
      </c>
      <c r="I150">
        <v>3071</v>
      </c>
      <c r="J150">
        <v>24568</v>
      </c>
      <c r="K150">
        <v>19654</v>
      </c>
      <c r="L150">
        <v>4914</v>
      </c>
      <c r="M150" t="str">
        <f t="shared" si="4"/>
        <v>High Profit</v>
      </c>
    </row>
    <row r="151" spans="1:13">
      <c r="A151">
        <v>1195</v>
      </c>
      <c r="B151" s="1">
        <v>45852</v>
      </c>
      <c r="C151" t="s">
        <v>11</v>
      </c>
      <c r="D151" t="s">
        <v>26</v>
      </c>
      <c r="E151" t="s">
        <v>23</v>
      </c>
      <c r="F151" t="str">
        <f>INDEX(SalesData[Category],MATCH(SalesData[[#This Row],[Product]],SalesData[Product],0))</f>
        <v>Accessories</v>
      </c>
      <c r="G151" t="s">
        <v>14</v>
      </c>
      <c r="H151">
        <v>8</v>
      </c>
      <c r="I151">
        <v>3071</v>
      </c>
      <c r="J151">
        <v>24568</v>
      </c>
      <c r="K151">
        <v>19654</v>
      </c>
      <c r="L151">
        <v>4914</v>
      </c>
      <c r="M151" t="str">
        <f t="shared" si="4"/>
        <v>High Profit</v>
      </c>
    </row>
    <row r="152" spans="1:13">
      <c r="A152">
        <v>1145</v>
      </c>
      <c r="B152" s="1">
        <v>45802</v>
      </c>
      <c r="C152" t="s">
        <v>11</v>
      </c>
      <c r="D152" t="s">
        <v>19</v>
      </c>
      <c r="E152" t="s">
        <v>27</v>
      </c>
      <c r="F152" t="str">
        <f>INDEX(SalesData[Category],MATCH(SalesData[[#This Row],[Product]],SalesData[Product],0))</f>
        <v>Electronics</v>
      </c>
      <c r="G152" t="s">
        <v>18</v>
      </c>
      <c r="H152">
        <v>8</v>
      </c>
      <c r="I152">
        <v>11888</v>
      </c>
      <c r="J152">
        <v>95104</v>
      </c>
      <c r="K152">
        <v>76083</v>
      </c>
      <c r="L152">
        <v>19021</v>
      </c>
      <c r="M152" t="str">
        <f t="shared" si="4"/>
        <v>High Profit</v>
      </c>
    </row>
    <row r="153" spans="1:13">
      <c r="A153">
        <v>1114</v>
      </c>
      <c r="B153" s="1">
        <v>45771</v>
      </c>
      <c r="C153" t="s">
        <v>11</v>
      </c>
      <c r="D153" t="s">
        <v>16</v>
      </c>
      <c r="E153" t="s">
        <v>27</v>
      </c>
      <c r="F153" t="str">
        <f>INDEX(SalesData[Category],MATCH(SalesData[[#This Row],[Product]],SalesData[Product],0))</f>
        <v>Electronics</v>
      </c>
      <c r="G153" t="s">
        <v>18</v>
      </c>
      <c r="H153">
        <v>8</v>
      </c>
      <c r="I153">
        <v>12132</v>
      </c>
      <c r="J153">
        <v>97056</v>
      </c>
      <c r="K153">
        <v>77644</v>
      </c>
      <c r="L153">
        <v>19412</v>
      </c>
      <c r="M153" t="str">
        <f t="shared" si="4"/>
        <v>High Profit</v>
      </c>
    </row>
    <row r="154" spans="1:13">
      <c r="A154">
        <v>1198</v>
      </c>
      <c r="B154" s="1">
        <v>45855</v>
      </c>
      <c r="C154" t="s">
        <v>25</v>
      </c>
      <c r="D154" t="s">
        <v>15</v>
      </c>
      <c r="E154" t="s">
        <v>28</v>
      </c>
      <c r="F154" t="str">
        <f>INDEX(SalesData[Category],MATCH(SalesData[[#This Row],[Product]],SalesData[Product],0))</f>
        <v>Electronics</v>
      </c>
      <c r="G154" t="s">
        <v>18</v>
      </c>
      <c r="H154">
        <v>8</v>
      </c>
      <c r="I154">
        <v>14819</v>
      </c>
      <c r="J154">
        <v>118552</v>
      </c>
      <c r="K154">
        <v>94841</v>
      </c>
      <c r="L154">
        <v>23711</v>
      </c>
      <c r="M154" t="str">
        <f t="shared" si="4"/>
        <v>High Profit</v>
      </c>
    </row>
    <row r="155" spans="1:13">
      <c r="A155">
        <v>1044</v>
      </c>
      <c r="B155" s="1">
        <v>45701</v>
      </c>
      <c r="C155" t="s">
        <v>11</v>
      </c>
      <c r="D155" t="s">
        <v>19</v>
      </c>
      <c r="E155" t="s">
        <v>28</v>
      </c>
      <c r="F155" t="str">
        <f>INDEX(SalesData[Category],MATCH(SalesData[[#This Row],[Product]],SalesData[Product],0))</f>
        <v>Electronics</v>
      </c>
      <c r="G155" t="s">
        <v>18</v>
      </c>
      <c r="H155">
        <v>8</v>
      </c>
      <c r="I155">
        <v>14924</v>
      </c>
      <c r="J155">
        <v>119392</v>
      </c>
      <c r="K155">
        <v>95513</v>
      </c>
      <c r="L155">
        <v>23879</v>
      </c>
      <c r="M155" t="str">
        <f t="shared" si="4"/>
        <v>High Profit</v>
      </c>
    </row>
    <row r="156" spans="1:13">
      <c r="A156">
        <v>1105</v>
      </c>
      <c r="B156" s="1">
        <v>45762</v>
      </c>
      <c r="C156" t="s">
        <v>11</v>
      </c>
      <c r="D156" t="s">
        <v>22</v>
      </c>
      <c r="E156" t="s">
        <v>28</v>
      </c>
      <c r="F156" t="str">
        <f>INDEX(SalesData[Category],MATCH(SalesData[[#This Row],[Product]],SalesData[Product],0))</f>
        <v>Electronics</v>
      </c>
      <c r="G156" t="s">
        <v>18</v>
      </c>
      <c r="H156">
        <v>8</v>
      </c>
      <c r="I156">
        <v>14976</v>
      </c>
      <c r="J156">
        <v>119808</v>
      </c>
      <c r="K156">
        <v>95846</v>
      </c>
      <c r="L156">
        <v>23962</v>
      </c>
      <c r="M156" t="str">
        <f t="shared" si="4"/>
        <v>High Profit</v>
      </c>
    </row>
    <row r="157" spans="1:13">
      <c r="A157">
        <v>1181</v>
      </c>
      <c r="B157" s="1">
        <v>45838</v>
      </c>
      <c r="C157" t="s">
        <v>24</v>
      </c>
      <c r="D157" t="s">
        <v>15</v>
      </c>
      <c r="E157" t="s">
        <v>28</v>
      </c>
      <c r="F157" t="str">
        <f>INDEX(SalesData[Category],MATCH(SalesData[[#This Row],[Product]],SalesData[Product],0))</f>
        <v>Electronics</v>
      </c>
      <c r="G157" t="s">
        <v>18</v>
      </c>
      <c r="H157">
        <v>8</v>
      </c>
      <c r="I157">
        <v>15016</v>
      </c>
      <c r="J157">
        <v>120128</v>
      </c>
      <c r="K157">
        <v>96102</v>
      </c>
      <c r="L157">
        <v>24026</v>
      </c>
      <c r="M157" t="str">
        <f t="shared" si="4"/>
        <v>High Profit</v>
      </c>
    </row>
    <row r="158" spans="1:13">
      <c r="A158">
        <v>1032</v>
      </c>
      <c r="B158" s="1">
        <v>45689</v>
      </c>
      <c r="C158" t="s">
        <v>21</v>
      </c>
      <c r="D158" t="s">
        <v>22</v>
      </c>
      <c r="E158" t="s">
        <v>28</v>
      </c>
      <c r="F158" t="str">
        <f>INDEX(SalesData[Category],MATCH(SalesData[[#This Row],[Product]],SalesData[Product],0))</f>
        <v>Electronics</v>
      </c>
      <c r="G158" t="s">
        <v>18</v>
      </c>
      <c r="H158">
        <v>8</v>
      </c>
      <c r="I158">
        <v>15176</v>
      </c>
      <c r="J158">
        <v>121408</v>
      </c>
      <c r="K158">
        <v>97126</v>
      </c>
      <c r="L158">
        <v>24282</v>
      </c>
      <c r="M158" t="str">
        <f t="shared" si="4"/>
        <v>High Profit</v>
      </c>
    </row>
    <row r="159" spans="1:13">
      <c r="A159">
        <v>1059</v>
      </c>
      <c r="B159" s="1">
        <v>45716</v>
      </c>
      <c r="C159" t="s">
        <v>11</v>
      </c>
      <c r="D159" t="s">
        <v>12</v>
      </c>
      <c r="E159" t="s">
        <v>29</v>
      </c>
      <c r="F159" t="str">
        <f>INDEX(SalesData[Category],MATCH(SalesData[[#This Row],[Product]],SalesData[Product],0))</f>
        <v>Electronics</v>
      </c>
      <c r="G159" t="s">
        <v>18</v>
      </c>
      <c r="H159">
        <v>8</v>
      </c>
      <c r="I159">
        <v>24863</v>
      </c>
      <c r="J159">
        <v>198904</v>
      </c>
      <c r="K159">
        <v>159123</v>
      </c>
      <c r="L159">
        <v>39781</v>
      </c>
      <c r="M159" t="str">
        <f t="shared" si="4"/>
        <v>High Profit</v>
      </c>
    </row>
    <row r="160" spans="1:13">
      <c r="A160">
        <v>1070</v>
      </c>
      <c r="B160" s="1">
        <v>45727</v>
      </c>
      <c r="C160" t="s">
        <v>21</v>
      </c>
      <c r="D160" t="s">
        <v>15</v>
      </c>
      <c r="E160" t="s">
        <v>29</v>
      </c>
      <c r="F160" t="str">
        <f>INDEX(SalesData[Category],MATCH(SalesData[[#This Row],[Product]],SalesData[Product],0))</f>
        <v>Electronics</v>
      </c>
      <c r="G160" t="s">
        <v>18</v>
      </c>
      <c r="H160">
        <v>8</v>
      </c>
      <c r="I160">
        <v>24898</v>
      </c>
      <c r="J160">
        <v>199184</v>
      </c>
      <c r="K160">
        <v>159347</v>
      </c>
      <c r="L160">
        <v>39837</v>
      </c>
      <c r="M160" t="str">
        <f t="shared" si="4"/>
        <v>High Profit</v>
      </c>
    </row>
    <row r="161" spans="1:13">
      <c r="A161">
        <v>1148</v>
      </c>
      <c r="B161" s="1">
        <v>45805</v>
      </c>
      <c r="C161" t="s">
        <v>11</v>
      </c>
      <c r="D161" t="s">
        <v>19</v>
      </c>
      <c r="E161" t="s">
        <v>29</v>
      </c>
      <c r="F161" t="str">
        <f>INDEX(SalesData[Category],MATCH(SalesData[[#This Row],[Product]],SalesData[Product],0))</f>
        <v>Electronics</v>
      </c>
      <c r="G161" t="s">
        <v>18</v>
      </c>
      <c r="H161">
        <v>8</v>
      </c>
      <c r="I161">
        <v>24935</v>
      </c>
      <c r="J161">
        <v>199480</v>
      </c>
      <c r="K161">
        <v>159584</v>
      </c>
      <c r="L161">
        <v>39896</v>
      </c>
      <c r="M161" t="str">
        <f t="shared" si="4"/>
        <v>High Profit</v>
      </c>
    </row>
    <row r="162" spans="1:13">
      <c r="A162">
        <v>1102</v>
      </c>
      <c r="B162" s="1">
        <v>45759</v>
      </c>
      <c r="C162" t="s">
        <v>21</v>
      </c>
      <c r="D162" t="s">
        <v>26</v>
      </c>
      <c r="E162" t="s">
        <v>29</v>
      </c>
      <c r="F162" t="str">
        <f>INDEX(SalesData[Category],MATCH(SalesData[[#This Row],[Product]],SalesData[Product],0))</f>
        <v>Electronics</v>
      </c>
      <c r="G162" t="s">
        <v>18</v>
      </c>
      <c r="H162">
        <v>8</v>
      </c>
      <c r="I162">
        <v>25051</v>
      </c>
      <c r="J162">
        <v>200408</v>
      </c>
      <c r="K162">
        <v>160326</v>
      </c>
      <c r="L162">
        <v>40082</v>
      </c>
      <c r="M162" t="str">
        <f t="shared" ref="M162:M193" si="5">IF(L162&gt;200,"High Profit","Low Profit")</f>
        <v>High Profit</v>
      </c>
    </row>
    <row r="163" spans="1:13">
      <c r="A163">
        <v>1003</v>
      </c>
      <c r="B163" s="1">
        <v>45660</v>
      </c>
      <c r="C163" t="s">
        <v>11</v>
      </c>
      <c r="D163" t="s">
        <v>16</v>
      </c>
      <c r="E163" t="s">
        <v>17</v>
      </c>
      <c r="F163" t="str">
        <f>INDEX(SalesData[Category],MATCH(SalesData[[#This Row],[Product]],SalesData[Product],0))</f>
        <v>Electronics</v>
      </c>
      <c r="G163" t="s">
        <v>18</v>
      </c>
      <c r="H163">
        <v>8</v>
      </c>
      <c r="I163">
        <v>50061</v>
      </c>
      <c r="J163">
        <v>400488</v>
      </c>
      <c r="K163">
        <v>320390</v>
      </c>
      <c r="L163">
        <v>80098</v>
      </c>
      <c r="M163" t="str">
        <f t="shared" si="5"/>
        <v>High Profit</v>
      </c>
    </row>
    <row r="164" spans="1:13">
      <c r="A164">
        <v>1160</v>
      </c>
      <c r="B164" s="1">
        <v>45817</v>
      </c>
      <c r="C164" t="s">
        <v>11</v>
      </c>
      <c r="D164" t="s">
        <v>12</v>
      </c>
      <c r="E164" t="s">
        <v>17</v>
      </c>
      <c r="F164" t="str">
        <f>INDEX(SalesData[Category],MATCH(SalesData[[#This Row],[Product]],SalesData[Product],0))</f>
        <v>Electronics</v>
      </c>
      <c r="G164" t="s">
        <v>18</v>
      </c>
      <c r="H164">
        <v>8</v>
      </c>
      <c r="I164">
        <v>50199</v>
      </c>
      <c r="J164">
        <v>401592</v>
      </c>
      <c r="K164">
        <v>321273</v>
      </c>
      <c r="L164">
        <v>80319</v>
      </c>
      <c r="M164" t="str">
        <f t="shared" si="5"/>
        <v>High Profit</v>
      </c>
    </row>
    <row r="165" spans="1:13">
      <c r="A165">
        <v>1197</v>
      </c>
      <c r="B165" s="1">
        <v>45854</v>
      </c>
      <c r="C165" t="s">
        <v>24</v>
      </c>
      <c r="D165" t="s">
        <v>26</v>
      </c>
      <c r="E165" t="s">
        <v>20</v>
      </c>
      <c r="F165" t="str">
        <f>INDEX(SalesData[Category],MATCH(SalesData[[#This Row],[Product]],SalesData[Product],0))</f>
        <v>Accessories</v>
      </c>
      <c r="G165" t="s">
        <v>14</v>
      </c>
      <c r="H165">
        <v>9</v>
      </c>
      <c r="I165">
        <v>627</v>
      </c>
      <c r="J165">
        <v>5643</v>
      </c>
      <c r="K165">
        <v>4514</v>
      </c>
      <c r="L165">
        <v>1129</v>
      </c>
      <c r="M165" t="str">
        <f t="shared" si="5"/>
        <v>High Profit</v>
      </c>
    </row>
    <row r="166" spans="1:13">
      <c r="A166">
        <v>1112</v>
      </c>
      <c r="B166" s="1">
        <v>45769</v>
      </c>
      <c r="C166" t="s">
        <v>25</v>
      </c>
      <c r="D166" t="s">
        <v>19</v>
      </c>
      <c r="E166" t="s">
        <v>20</v>
      </c>
      <c r="F166" t="str">
        <f>INDEX(SalesData[Category],MATCH(SalesData[[#This Row],[Product]],SalesData[Product],0))</f>
        <v>Accessories</v>
      </c>
      <c r="G166" t="s">
        <v>14</v>
      </c>
      <c r="H166">
        <v>9</v>
      </c>
      <c r="I166">
        <v>637</v>
      </c>
      <c r="J166">
        <v>5733</v>
      </c>
      <c r="K166">
        <v>4586</v>
      </c>
      <c r="L166">
        <v>1147</v>
      </c>
      <c r="M166" t="str">
        <f t="shared" si="5"/>
        <v>High Profit</v>
      </c>
    </row>
    <row r="167" spans="1:13">
      <c r="A167">
        <v>1021</v>
      </c>
      <c r="B167" s="1">
        <v>45678</v>
      </c>
      <c r="C167" t="s">
        <v>21</v>
      </c>
      <c r="D167" t="s">
        <v>22</v>
      </c>
      <c r="E167" t="s">
        <v>20</v>
      </c>
      <c r="F167" t="str">
        <f>INDEX(SalesData[Category],MATCH(SalesData[[#This Row],[Product]],SalesData[Product],0))</f>
        <v>Accessories</v>
      </c>
      <c r="G167" t="s">
        <v>14</v>
      </c>
      <c r="H167">
        <v>9</v>
      </c>
      <c r="I167">
        <v>675</v>
      </c>
      <c r="J167">
        <v>6075</v>
      </c>
      <c r="K167">
        <v>4860</v>
      </c>
      <c r="L167">
        <v>1215</v>
      </c>
      <c r="M167" t="str">
        <f t="shared" si="5"/>
        <v>High Profit</v>
      </c>
    </row>
    <row r="168" spans="1:13">
      <c r="A168">
        <v>1146</v>
      </c>
      <c r="B168" s="1">
        <v>45803</v>
      </c>
      <c r="C168" t="s">
        <v>24</v>
      </c>
      <c r="D168" t="s">
        <v>12</v>
      </c>
      <c r="E168" t="s">
        <v>20</v>
      </c>
      <c r="F168" t="str">
        <f>INDEX(SalesData[Category],MATCH(SalesData[[#This Row],[Product]],SalesData[Product],0))</f>
        <v>Accessories</v>
      </c>
      <c r="G168" t="s">
        <v>14</v>
      </c>
      <c r="H168">
        <v>9</v>
      </c>
      <c r="I168">
        <v>849</v>
      </c>
      <c r="J168">
        <v>7641</v>
      </c>
      <c r="K168">
        <v>6112</v>
      </c>
      <c r="L168">
        <v>1529</v>
      </c>
      <c r="M168" t="str">
        <f t="shared" si="5"/>
        <v>High Profit</v>
      </c>
    </row>
    <row r="169" spans="1:13">
      <c r="A169">
        <v>1045</v>
      </c>
      <c r="B169" s="1">
        <v>45702</v>
      </c>
      <c r="C169" t="s">
        <v>11</v>
      </c>
      <c r="D169" t="s">
        <v>26</v>
      </c>
      <c r="E169" t="s">
        <v>23</v>
      </c>
      <c r="F169" t="str">
        <f>INDEX(SalesData[Category],MATCH(SalesData[[#This Row],[Product]],SalesData[Product],0))</f>
        <v>Accessories</v>
      </c>
      <c r="G169" t="s">
        <v>14</v>
      </c>
      <c r="H169">
        <v>9</v>
      </c>
      <c r="I169">
        <v>3077</v>
      </c>
      <c r="J169">
        <v>27693</v>
      </c>
      <c r="K169">
        <v>22154</v>
      </c>
      <c r="L169">
        <v>5539</v>
      </c>
      <c r="M169" t="str">
        <f t="shared" si="5"/>
        <v>High Profit</v>
      </c>
    </row>
    <row r="170" spans="1:13">
      <c r="A170">
        <v>1131</v>
      </c>
      <c r="B170" s="1">
        <v>45788</v>
      </c>
      <c r="C170" t="s">
        <v>11</v>
      </c>
      <c r="D170" t="s">
        <v>19</v>
      </c>
      <c r="E170" t="s">
        <v>23</v>
      </c>
      <c r="F170" t="str">
        <f>INDEX(SalesData[Category],MATCH(SalesData[[#This Row],[Product]],SalesData[Product],0))</f>
        <v>Accessories</v>
      </c>
      <c r="G170" t="s">
        <v>14</v>
      </c>
      <c r="H170">
        <v>9</v>
      </c>
      <c r="I170">
        <v>3103</v>
      </c>
      <c r="J170">
        <v>27927</v>
      </c>
      <c r="K170">
        <v>22341</v>
      </c>
      <c r="L170">
        <v>5586</v>
      </c>
      <c r="M170" t="str">
        <f t="shared" si="5"/>
        <v>High Profit</v>
      </c>
    </row>
    <row r="171" spans="1:13">
      <c r="A171">
        <v>1179</v>
      </c>
      <c r="B171" s="1">
        <v>45836</v>
      </c>
      <c r="C171" t="s">
        <v>21</v>
      </c>
      <c r="D171" t="s">
        <v>19</v>
      </c>
      <c r="E171" t="s">
        <v>27</v>
      </c>
      <c r="F171" t="str">
        <f>INDEX(SalesData[Category],MATCH(SalesData[[#This Row],[Product]],SalesData[Product],0))</f>
        <v>Electronics</v>
      </c>
      <c r="G171" t="s">
        <v>18</v>
      </c>
      <c r="H171">
        <v>9</v>
      </c>
      <c r="I171">
        <v>12028</v>
      </c>
      <c r="J171">
        <v>108252</v>
      </c>
      <c r="K171">
        <v>86601</v>
      </c>
      <c r="L171">
        <v>21651</v>
      </c>
      <c r="M171" t="str">
        <f t="shared" si="5"/>
        <v>High Profit</v>
      </c>
    </row>
    <row r="172" spans="1:13">
      <c r="A172">
        <v>1012</v>
      </c>
      <c r="B172" s="1">
        <v>45669</v>
      </c>
      <c r="C172" t="s">
        <v>11</v>
      </c>
      <c r="D172" t="s">
        <v>15</v>
      </c>
      <c r="E172" t="s">
        <v>27</v>
      </c>
      <c r="F172" t="str">
        <f>INDEX(SalesData[Category],MATCH(SalesData[[#This Row],[Product]],SalesData[Product],0))</f>
        <v>Electronics</v>
      </c>
      <c r="G172" t="s">
        <v>18</v>
      </c>
      <c r="H172">
        <v>9</v>
      </c>
      <c r="I172">
        <v>12198</v>
      </c>
      <c r="J172">
        <v>109782</v>
      </c>
      <c r="K172">
        <v>87825</v>
      </c>
      <c r="L172">
        <v>21957</v>
      </c>
      <c r="M172" t="str">
        <f t="shared" si="5"/>
        <v>High Profit</v>
      </c>
    </row>
    <row r="173" spans="1:13">
      <c r="A173">
        <v>1178</v>
      </c>
      <c r="B173" s="1">
        <v>45835</v>
      </c>
      <c r="C173" t="s">
        <v>24</v>
      </c>
      <c r="D173" t="s">
        <v>22</v>
      </c>
      <c r="E173" t="s">
        <v>28</v>
      </c>
      <c r="F173" t="str">
        <f>INDEX(SalesData[Category],MATCH(SalesData[[#This Row],[Product]],SalesData[Product],0))</f>
        <v>Electronics</v>
      </c>
      <c r="G173" t="s">
        <v>18</v>
      </c>
      <c r="H173">
        <v>9</v>
      </c>
      <c r="I173">
        <v>14998</v>
      </c>
      <c r="J173">
        <v>134982</v>
      </c>
      <c r="K173">
        <v>107985</v>
      </c>
      <c r="L173">
        <v>26997</v>
      </c>
      <c r="M173" t="str">
        <f t="shared" si="5"/>
        <v>High Profit</v>
      </c>
    </row>
    <row r="174" spans="1:13">
      <c r="A174">
        <v>1051</v>
      </c>
      <c r="B174" s="1">
        <v>45708</v>
      </c>
      <c r="C174" t="s">
        <v>24</v>
      </c>
      <c r="D174" t="s">
        <v>12</v>
      </c>
      <c r="E174" t="s">
        <v>29</v>
      </c>
      <c r="F174" t="str">
        <f>INDEX(SalesData[Category],MATCH(SalesData[[#This Row],[Product]],SalesData[Product],0))</f>
        <v>Electronics</v>
      </c>
      <c r="G174" t="s">
        <v>18</v>
      </c>
      <c r="H174">
        <v>9</v>
      </c>
      <c r="I174">
        <v>24945</v>
      </c>
      <c r="J174">
        <v>224505</v>
      </c>
      <c r="K174">
        <v>179604</v>
      </c>
      <c r="L174">
        <v>44901</v>
      </c>
      <c r="M174" t="str">
        <f t="shared" si="5"/>
        <v>High Profit</v>
      </c>
    </row>
    <row r="175" spans="1:13">
      <c r="A175">
        <v>1029</v>
      </c>
      <c r="B175" s="1">
        <v>45686</v>
      </c>
      <c r="C175" t="s">
        <v>21</v>
      </c>
      <c r="D175" t="s">
        <v>19</v>
      </c>
      <c r="E175" t="s">
        <v>17</v>
      </c>
      <c r="F175" t="str">
        <f>INDEX(SalesData[Category],MATCH(SalesData[[#This Row],[Product]],SalesData[Product],0))</f>
        <v>Electronics</v>
      </c>
      <c r="G175" t="s">
        <v>18</v>
      </c>
      <c r="H175">
        <v>9</v>
      </c>
      <c r="I175">
        <v>49865</v>
      </c>
      <c r="J175">
        <v>448785</v>
      </c>
      <c r="K175">
        <v>359028</v>
      </c>
      <c r="L175">
        <v>89757</v>
      </c>
      <c r="M175" t="str">
        <f t="shared" si="5"/>
        <v>High Profit</v>
      </c>
    </row>
    <row r="176" spans="1:13">
      <c r="A176">
        <v>1152</v>
      </c>
      <c r="B176" s="1">
        <v>45809</v>
      </c>
      <c r="C176" t="s">
        <v>24</v>
      </c>
      <c r="D176" t="s">
        <v>16</v>
      </c>
      <c r="E176" t="s">
        <v>17</v>
      </c>
      <c r="F176" t="str">
        <f>INDEX(SalesData[Category],MATCH(SalesData[[#This Row],[Product]],SalesData[Product],0))</f>
        <v>Electronics</v>
      </c>
      <c r="G176" t="s">
        <v>18</v>
      </c>
      <c r="H176">
        <v>9</v>
      </c>
      <c r="I176">
        <v>50009</v>
      </c>
      <c r="J176">
        <v>450081</v>
      </c>
      <c r="K176">
        <v>360064</v>
      </c>
      <c r="L176">
        <v>90017</v>
      </c>
      <c r="M176" t="str">
        <f t="shared" si="5"/>
        <v>High Profit</v>
      </c>
    </row>
    <row r="177" spans="1:13">
      <c r="A177">
        <v>1156</v>
      </c>
      <c r="B177" s="1">
        <v>45813</v>
      </c>
      <c r="C177" t="s">
        <v>11</v>
      </c>
      <c r="D177" t="s">
        <v>15</v>
      </c>
      <c r="E177" t="s">
        <v>20</v>
      </c>
      <c r="F177" t="str">
        <f>INDEX(SalesData[Category],MATCH(SalesData[[#This Row],[Product]],SalesData[Product],0))</f>
        <v>Accessories</v>
      </c>
      <c r="G177" t="s">
        <v>14</v>
      </c>
      <c r="H177">
        <v>10</v>
      </c>
      <c r="I177">
        <v>632</v>
      </c>
      <c r="J177">
        <v>6320</v>
      </c>
      <c r="K177">
        <v>5056</v>
      </c>
      <c r="L177">
        <v>1264</v>
      </c>
      <c r="M177" t="str">
        <f t="shared" si="5"/>
        <v>High Profit</v>
      </c>
    </row>
    <row r="178" spans="1:13">
      <c r="A178">
        <v>1188</v>
      </c>
      <c r="B178" s="1">
        <v>45845</v>
      </c>
      <c r="C178" t="s">
        <v>25</v>
      </c>
      <c r="D178" t="s">
        <v>19</v>
      </c>
      <c r="E178" t="s">
        <v>20</v>
      </c>
      <c r="F178" t="str">
        <f>INDEX(SalesData[Category],MATCH(SalesData[[#This Row],[Product]],SalesData[Product],0))</f>
        <v>Accessories</v>
      </c>
      <c r="G178" t="s">
        <v>14</v>
      </c>
      <c r="H178">
        <v>10</v>
      </c>
      <c r="I178">
        <v>654</v>
      </c>
      <c r="J178">
        <v>6540</v>
      </c>
      <c r="K178">
        <v>5232</v>
      </c>
      <c r="L178">
        <v>1308</v>
      </c>
      <c r="M178" t="str">
        <f t="shared" si="5"/>
        <v>High Profit</v>
      </c>
    </row>
    <row r="179" spans="1:13">
      <c r="A179">
        <v>1039</v>
      </c>
      <c r="B179" s="1">
        <v>45696</v>
      </c>
      <c r="C179" t="s">
        <v>25</v>
      </c>
      <c r="D179" t="s">
        <v>15</v>
      </c>
      <c r="E179" t="s">
        <v>20</v>
      </c>
      <c r="F179" t="str">
        <f>INDEX(SalesData[Category],MATCH(SalesData[[#This Row],[Product]],SalesData[Product],0))</f>
        <v>Accessories</v>
      </c>
      <c r="G179" t="s">
        <v>14</v>
      </c>
      <c r="H179">
        <v>10</v>
      </c>
      <c r="I179">
        <v>672</v>
      </c>
      <c r="J179">
        <v>6720</v>
      </c>
      <c r="K179">
        <v>5376</v>
      </c>
      <c r="L179">
        <v>1344</v>
      </c>
      <c r="M179" t="str">
        <f t="shared" si="5"/>
        <v>High Profit</v>
      </c>
    </row>
    <row r="180" spans="1:13">
      <c r="A180">
        <v>1030</v>
      </c>
      <c r="B180" s="1">
        <v>45687</v>
      </c>
      <c r="C180" t="s">
        <v>25</v>
      </c>
      <c r="D180" t="s">
        <v>26</v>
      </c>
      <c r="E180" t="s">
        <v>20</v>
      </c>
      <c r="F180" t="str">
        <f>INDEX(SalesData[Category],MATCH(SalesData[[#This Row],[Product]],SalesData[Product],0))</f>
        <v>Accessories</v>
      </c>
      <c r="G180" t="s">
        <v>14</v>
      </c>
      <c r="H180">
        <v>10</v>
      </c>
      <c r="I180">
        <v>682</v>
      </c>
      <c r="J180">
        <v>6820</v>
      </c>
      <c r="K180">
        <v>5456</v>
      </c>
      <c r="L180">
        <v>1364</v>
      </c>
      <c r="M180" t="str">
        <f t="shared" si="5"/>
        <v>High Profit</v>
      </c>
    </row>
    <row r="181" spans="1:13">
      <c r="A181">
        <v>1092</v>
      </c>
      <c r="B181" s="1">
        <v>45749</v>
      </c>
      <c r="C181" t="s">
        <v>24</v>
      </c>
      <c r="D181" t="s">
        <v>15</v>
      </c>
      <c r="E181" t="s">
        <v>20</v>
      </c>
      <c r="F181" t="str">
        <f>INDEX(SalesData[Category],MATCH(SalesData[[#This Row],[Product]],SalesData[Product],0))</f>
        <v>Accessories</v>
      </c>
      <c r="G181" t="s">
        <v>14</v>
      </c>
      <c r="H181">
        <v>10</v>
      </c>
      <c r="I181">
        <v>819</v>
      </c>
      <c r="J181">
        <v>8190</v>
      </c>
      <c r="K181">
        <v>6552</v>
      </c>
      <c r="L181">
        <v>1638</v>
      </c>
      <c r="M181" t="str">
        <f t="shared" si="5"/>
        <v>High Profit</v>
      </c>
    </row>
    <row r="182" spans="1:13">
      <c r="A182">
        <v>1008</v>
      </c>
      <c r="B182" s="1">
        <v>45665</v>
      </c>
      <c r="C182" t="s">
        <v>25</v>
      </c>
      <c r="D182" t="s">
        <v>22</v>
      </c>
      <c r="E182" t="s">
        <v>20</v>
      </c>
      <c r="F182" t="str">
        <f>INDEX(SalesData[Category],MATCH(SalesData[[#This Row],[Product]],SalesData[Product],0))</f>
        <v>Accessories</v>
      </c>
      <c r="G182" t="s">
        <v>14</v>
      </c>
      <c r="H182">
        <v>10</v>
      </c>
      <c r="I182">
        <v>991</v>
      </c>
      <c r="J182">
        <v>9910</v>
      </c>
      <c r="K182">
        <v>7928</v>
      </c>
      <c r="L182">
        <v>1982</v>
      </c>
      <c r="M182" t="str">
        <f t="shared" si="5"/>
        <v>High Profit</v>
      </c>
    </row>
    <row r="183" spans="1:13">
      <c r="A183">
        <v>1093</v>
      </c>
      <c r="B183" s="1">
        <v>45750</v>
      </c>
      <c r="C183" t="s">
        <v>11</v>
      </c>
      <c r="D183" t="s">
        <v>12</v>
      </c>
      <c r="E183" t="s">
        <v>13</v>
      </c>
      <c r="F183" t="str">
        <f>INDEX(SalesData[Category],MATCH(SalesData[[#This Row],[Product]],SalesData[Product],0))</f>
        <v xml:space="preserve">        Accessories</v>
      </c>
      <c r="G183" t="s">
        <v>14</v>
      </c>
      <c r="H183">
        <v>10</v>
      </c>
      <c r="I183">
        <v>1089</v>
      </c>
      <c r="J183">
        <v>10890</v>
      </c>
      <c r="K183">
        <v>8712</v>
      </c>
      <c r="L183">
        <v>2178</v>
      </c>
      <c r="M183" t="str">
        <f t="shared" si="5"/>
        <v>High Profit</v>
      </c>
    </row>
    <row r="184" spans="1:13">
      <c r="A184">
        <v>1155</v>
      </c>
      <c r="B184" s="1">
        <v>45812</v>
      </c>
      <c r="C184" t="s">
        <v>25</v>
      </c>
      <c r="D184" t="s">
        <v>19</v>
      </c>
      <c r="E184" t="s">
        <v>13</v>
      </c>
      <c r="F184" t="str">
        <f>INDEX(SalesData[Category],MATCH(SalesData[[#This Row],[Product]],SalesData[Product],0))</f>
        <v xml:space="preserve">        Accessories</v>
      </c>
      <c r="G184" t="s">
        <v>14</v>
      </c>
      <c r="H184">
        <v>10</v>
      </c>
      <c r="I184">
        <v>1149</v>
      </c>
      <c r="J184">
        <v>11490</v>
      </c>
      <c r="K184">
        <v>9192</v>
      </c>
      <c r="L184">
        <v>2298</v>
      </c>
      <c r="M184" t="str">
        <f t="shared" si="5"/>
        <v>High Profit</v>
      </c>
    </row>
    <row r="185" spans="1:13">
      <c r="A185">
        <v>1196</v>
      </c>
      <c r="B185" s="1">
        <v>45853</v>
      </c>
      <c r="C185" t="s">
        <v>11</v>
      </c>
      <c r="D185" t="s">
        <v>22</v>
      </c>
      <c r="E185" t="s">
        <v>13</v>
      </c>
      <c r="F185" t="str">
        <f>INDEX(SalesData[Category],MATCH(SalesData[[#This Row],[Product]],SalesData[Product],0))</f>
        <v xml:space="preserve">        Accessories</v>
      </c>
      <c r="G185" t="s">
        <v>14</v>
      </c>
      <c r="H185">
        <v>10</v>
      </c>
      <c r="I185">
        <v>1222</v>
      </c>
      <c r="J185">
        <v>12220</v>
      </c>
      <c r="K185">
        <v>9776</v>
      </c>
      <c r="L185">
        <v>2444</v>
      </c>
      <c r="M185" t="str">
        <f t="shared" si="5"/>
        <v>High Profit</v>
      </c>
    </row>
    <row r="186" spans="1:13">
      <c r="A186">
        <v>1162</v>
      </c>
      <c r="B186" s="1">
        <v>45819</v>
      </c>
      <c r="C186" t="s">
        <v>24</v>
      </c>
      <c r="D186" t="s">
        <v>22</v>
      </c>
      <c r="E186" t="s">
        <v>13</v>
      </c>
      <c r="F186" t="str">
        <f>INDEX(SalesData[Category],MATCH(SalesData[[#This Row],[Product]],SalesData[Product],0))</f>
        <v xml:space="preserve">        Accessories</v>
      </c>
      <c r="G186" t="s">
        <v>14</v>
      </c>
      <c r="H186">
        <v>10</v>
      </c>
      <c r="I186">
        <v>1375</v>
      </c>
      <c r="J186">
        <v>13750</v>
      </c>
      <c r="K186">
        <v>11000</v>
      </c>
      <c r="L186">
        <v>2750</v>
      </c>
      <c r="M186" t="str">
        <f t="shared" si="5"/>
        <v>High Profit</v>
      </c>
    </row>
    <row r="187" spans="1:13">
      <c r="A187">
        <v>1096</v>
      </c>
      <c r="B187" s="1">
        <v>45753</v>
      </c>
      <c r="C187" t="s">
        <v>25</v>
      </c>
      <c r="D187" t="s">
        <v>22</v>
      </c>
      <c r="E187" t="s">
        <v>23</v>
      </c>
      <c r="F187" t="str">
        <f>INDEX(SalesData[Category],MATCH(SalesData[[#This Row],[Product]],SalesData[Product],0))</f>
        <v>Accessories</v>
      </c>
      <c r="G187" t="s">
        <v>14</v>
      </c>
      <c r="H187">
        <v>10</v>
      </c>
      <c r="I187">
        <v>2848</v>
      </c>
      <c r="J187">
        <v>28480</v>
      </c>
      <c r="K187">
        <v>22784</v>
      </c>
      <c r="L187">
        <v>5696</v>
      </c>
      <c r="M187" t="str">
        <f t="shared" si="5"/>
        <v>High Profit</v>
      </c>
    </row>
    <row r="188" spans="1:13">
      <c r="A188">
        <v>1038</v>
      </c>
      <c r="B188" s="1">
        <v>45695</v>
      </c>
      <c r="C188" t="s">
        <v>21</v>
      </c>
      <c r="D188" t="s">
        <v>15</v>
      </c>
      <c r="E188" t="s">
        <v>23</v>
      </c>
      <c r="F188" t="str">
        <f>INDEX(SalesData[Category],MATCH(SalesData[[#This Row],[Product]],SalesData[Product],0))</f>
        <v>Accessories</v>
      </c>
      <c r="G188" t="s">
        <v>14</v>
      </c>
      <c r="H188">
        <v>10</v>
      </c>
      <c r="I188">
        <v>2875</v>
      </c>
      <c r="J188">
        <v>28750</v>
      </c>
      <c r="K188">
        <v>23000</v>
      </c>
      <c r="L188">
        <v>5750</v>
      </c>
      <c r="M188" t="str">
        <f t="shared" si="5"/>
        <v>High Profit</v>
      </c>
    </row>
    <row r="189" spans="1:13">
      <c r="A189">
        <v>1106</v>
      </c>
      <c r="B189" s="1">
        <v>45763</v>
      </c>
      <c r="C189" t="s">
        <v>21</v>
      </c>
      <c r="D189" t="s">
        <v>15</v>
      </c>
      <c r="E189" t="s">
        <v>23</v>
      </c>
      <c r="F189" t="str">
        <f>INDEX(SalesData[Category],MATCH(SalesData[[#This Row],[Product]],SalesData[Product],0))</f>
        <v>Accessories</v>
      </c>
      <c r="G189" t="s">
        <v>14</v>
      </c>
      <c r="H189">
        <v>10</v>
      </c>
      <c r="I189">
        <v>2885</v>
      </c>
      <c r="J189">
        <v>28850</v>
      </c>
      <c r="K189">
        <v>23080</v>
      </c>
      <c r="L189">
        <v>5770</v>
      </c>
      <c r="M189" t="str">
        <f t="shared" si="5"/>
        <v>High Profit</v>
      </c>
    </row>
    <row r="190" spans="1:13">
      <c r="A190">
        <v>1157</v>
      </c>
      <c r="B190" s="1">
        <v>45814</v>
      </c>
      <c r="C190" t="s">
        <v>11</v>
      </c>
      <c r="D190" t="s">
        <v>19</v>
      </c>
      <c r="E190" t="s">
        <v>23</v>
      </c>
      <c r="F190" t="str">
        <f>INDEX(SalesData[Category],MATCH(SalesData[[#This Row],[Product]],SalesData[Product],0))</f>
        <v>Accessories</v>
      </c>
      <c r="G190" t="s">
        <v>14</v>
      </c>
      <c r="H190">
        <v>10</v>
      </c>
      <c r="I190">
        <v>2903</v>
      </c>
      <c r="J190">
        <v>29030</v>
      </c>
      <c r="K190">
        <v>23224</v>
      </c>
      <c r="L190">
        <v>5806</v>
      </c>
      <c r="M190" t="str">
        <f t="shared" si="5"/>
        <v>High Profit</v>
      </c>
    </row>
    <row r="191" spans="1:13">
      <c r="A191">
        <v>1174</v>
      </c>
      <c r="B191" s="1">
        <v>45831</v>
      </c>
      <c r="C191" t="s">
        <v>21</v>
      </c>
      <c r="D191" t="s">
        <v>22</v>
      </c>
      <c r="E191" t="s">
        <v>23</v>
      </c>
      <c r="F191" t="str">
        <f>INDEX(SalesData[Category],MATCH(SalesData[[#This Row],[Product]],SalesData[Product],0))</f>
        <v>Accessories</v>
      </c>
      <c r="G191" t="s">
        <v>14</v>
      </c>
      <c r="H191">
        <v>10</v>
      </c>
      <c r="I191">
        <v>3089</v>
      </c>
      <c r="J191">
        <v>30890</v>
      </c>
      <c r="K191">
        <v>24712</v>
      </c>
      <c r="L191">
        <v>6178</v>
      </c>
      <c r="M191" t="str">
        <f t="shared" si="5"/>
        <v>High Profit</v>
      </c>
    </row>
    <row r="192" spans="1:13">
      <c r="A192">
        <v>1076</v>
      </c>
      <c r="B192" s="1">
        <v>45733</v>
      </c>
      <c r="C192" t="s">
        <v>21</v>
      </c>
      <c r="D192" t="s">
        <v>19</v>
      </c>
      <c r="E192" t="s">
        <v>27</v>
      </c>
      <c r="F192" t="str">
        <f>INDEX(SalesData[Category],MATCH(SalesData[[#This Row],[Product]],SalesData[Product],0))</f>
        <v>Electronics</v>
      </c>
      <c r="G192" t="s">
        <v>18</v>
      </c>
      <c r="H192">
        <v>10</v>
      </c>
      <c r="I192">
        <v>12074</v>
      </c>
      <c r="J192">
        <v>120740</v>
      </c>
      <c r="K192">
        <v>96592</v>
      </c>
      <c r="L192">
        <v>24148</v>
      </c>
      <c r="M192" t="str">
        <f t="shared" si="5"/>
        <v>High Profit</v>
      </c>
    </row>
    <row r="193" spans="1:13">
      <c r="A193">
        <v>1017</v>
      </c>
      <c r="B193" s="1">
        <v>45674</v>
      </c>
      <c r="C193" t="s">
        <v>24</v>
      </c>
      <c r="D193" t="s">
        <v>26</v>
      </c>
      <c r="E193" t="s">
        <v>28</v>
      </c>
      <c r="F193" t="str">
        <f>INDEX(SalesData[Category],MATCH(SalesData[[#This Row],[Product]],SalesData[Product],0))</f>
        <v>Electronics</v>
      </c>
      <c r="G193" t="s">
        <v>18</v>
      </c>
      <c r="H193">
        <v>10</v>
      </c>
      <c r="I193">
        <v>15129</v>
      </c>
      <c r="J193">
        <v>151290</v>
      </c>
      <c r="K193">
        <v>121032</v>
      </c>
      <c r="L193">
        <v>30258</v>
      </c>
      <c r="M193" t="str">
        <f t="shared" si="5"/>
        <v>High Profit</v>
      </c>
    </row>
    <row r="194" spans="1:13">
      <c r="A194">
        <v>1109</v>
      </c>
      <c r="B194" s="1">
        <v>45766</v>
      </c>
      <c r="C194" t="s">
        <v>21</v>
      </c>
      <c r="D194" t="s">
        <v>22</v>
      </c>
      <c r="E194" t="s">
        <v>29</v>
      </c>
      <c r="F194" t="str">
        <f>INDEX(SalesData[Category],MATCH(SalesData[[#This Row],[Product]],SalesData[Product],0))</f>
        <v>Electronics</v>
      </c>
      <c r="G194" t="s">
        <v>18</v>
      </c>
      <c r="H194">
        <v>10</v>
      </c>
      <c r="I194">
        <v>24828</v>
      </c>
      <c r="J194">
        <v>248280</v>
      </c>
      <c r="K194">
        <v>198624</v>
      </c>
      <c r="L194">
        <v>49656</v>
      </c>
      <c r="M194" t="str">
        <f t="shared" ref="M194:M225" si="6">IF(L194&gt;200,"High Profit","Low Profit")</f>
        <v>High Profit</v>
      </c>
    </row>
    <row r="195" spans="1:13">
      <c r="A195">
        <v>1073</v>
      </c>
      <c r="B195" s="1">
        <v>45730</v>
      </c>
      <c r="C195" t="s">
        <v>24</v>
      </c>
      <c r="D195" t="s">
        <v>22</v>
      </c>
      <c r="E195" t="s">
        <v>29</v>
      </c>
      <c r="F195" t="str">
        <f>INDEX(SalesData[Category],MATCH(SalesData[[#This Row],[Product]],SalesData[Product],0))</f>
        <v>Electronics</v>
      </c>
      <c r="G195" t="s">
        <v>18</v>
      </c>
      <c r="H195">
        <v>10</v>
      </c>
      <c r="I195">
        <v>24831</v>
      </c>
      <c r="J195">
        <v>248310</v>
      </c>
      <c r="K195">
        <v>198648</v>
      </c>
      <c r="L195">
        <v>49662</v>
      </c>
      <c r="M195" t="str">
        <f t="shared" si="6"/>
        <v>High Profit</v>
      </c>
    </row>
    <row r="196" spans="1:13">
      <c r="A196">
        <v>1133</v>
      </c>
      <c r="B196" s="1">
        <v>45790</v>
      </c>
      <c r="C196" t="s">
        <v>21</v>
      </c>
      <c r="D196" t="s">
        <v>19</v>
      </c>
      <c r="E196" t="s">
        <v>17</v>
      </c>
      <c r="F196" t="str">
        <f>INDEX(SalesData[Category],MATCH(SalesData[[#This Row],[Product]],SalesData[Product],0))</f>
        <v>Electronics</v>
      </c>
      <c r="G196" t="s">
        <v>18</v>
      </c>
      <c r="H196">
        <v>10</v>
      </c>
      <c r="I196">
        <v>49936</v>
      </c>
      <c r="J196">
        <v>499360</v>
      </c>
      <c r="K196">
        <v>399488</v>
      </c>
      <c r="L196">
        <v>99872</v>
      </c>
      <c r="M196" t="str">
        <f t="shared" si="6"/>
        <v>High Profit</v>
      </c>
    </row>
    <row r="197" spans="1:13">
      <c r="A197">
        <v>1087</v>
      </c>
      <c r="B197" s="1">
        <v>45744</v>
      </c>
      <c r="C197" t="s">
        <v>25</v>
      </c>
      <c r="D197" t="s">
        <v>15</v>
      </c>
      <c r="E197" t="s">
        <v>17</v>
      </c>
      <c r="F197" t="str">
        <f>INDEX(SalesData[Category],MATCH(SalesData[[#This Row],[Product]],SalesData[Product],0))</f>
        <v>Electronics</v>
      </c>
      <c r="G197" t="s">
        <v>18</v>
      </c>
      <c r="H197">
        <v>10</v>
      </c>
      <c r="I197">
        <v>49973</v>
      </c>
      <c r="J197">
        <v>499730</v>
      </c>
      <c r="K197">
        <v>399784</v>
      </c>
      <c r="L197">
        <v>99946</v>
      </c>
      <c r="M197" t="str">
        <f t="shared" si="6"/>
        <v>High Profit</v>
      </c>
    </row>
    <row r="198" spans="1:13">
      <c r="A198">
        <v>1183</v>
      </c>
      <c r="B198" s="1">
        <v>45840</v>
      </c>
      <c r="C198" t="s">
        <v>25</v>
      </c>
      <c r="D198" t="s">
        <v>15</v>
      </c>
      <c r="E198" t="s">
        <v>17</v>
      </c>
      <c r="F198" t="str">
        <f>INDEX(SalesData[Category],MATCH(SalesData[[#This Row],[Product]],SalesData[Product],0))</f>
        <v>Electronics</v>
      </c>
      <c r="G198" t="s">
        <v>18</v>
      </c>
      <c r="H198">
        <v>10</v>
      </c>
      <c r="I198">
        <v>49986</v>
      </c>
      <c r="J198">
        <v>499860</v>
      </c>
      <c r="K198">
        <v>399888</v>
      </c>
      <c r="L198">
        <v>99972</v>
      </c>
      <c r="M198" t="str">
        <f t="shared" si="6"/>
        <v>High Profit</v>
      </c>
    </row>
    <row r="199" spans="1:13">
      <c r="A199">
        <v>1173</v>
      </c>
      <c r="B199" s="1">
        <v>45830</v>
      </c>
      <c r="C199" t="s">
        <v>24</v>
      </c>
      <c r="D199" t="s">
        <v>19</v>
      </c>
      <c r="E199" t="s">
        <v>17</v>
      </c>
      <c r="F199" t="str">
        <f>INDEX(SalesData[Category],MATCH(SalesData[[#This Row],[Product]],SalesData[Product],0))</f>
        <v>Electronics</v>
      </c>
      <c r="G199" t="s">
        <v>18</v>
      </c>
      <c r="H199">
        <v>10</v>
      </c>
      <c r="I199">
        <v>50041</v>
      </c>
      <c r="J199">
        <v>500410</v>
      </c>
      <c r="K199">
        <v>400328</v>
      </c>
      <c r="L199">
        <v>100082</v>
      </c>
      <c r="M199" t="str">
        <f t="shared" si="6"/>
        <v>High Profit</v>
      </c>
    </row>
    <row r="200" spans="1:13">
      <c r="A200">
        <v>1117</v>
      </c>
      <c r="B200" s="1">
        <v>45774</v>
      </c>
      <c r="C200" t="s">
        <v>25</v>
      </c>
      <c r="D200" t="s">
        <v>16</v>
      </c>
      <c r="E200" t="s">
        <v>17</v>
      </c>
      <c r="F200" t="str">
        <f>INDEX(SalesData[Category],MATCH(SalesData[[#This Row],[Product]],SalesData[Product],0))</f>
        <v>Electronics</v>
      </c>
      <c r="G200" t="s">
        <v>18</v>
      </c>
      <c r="H200">
        <v>10</v>
      </c>
      <c r="I200">
        <v>50046</v>
      </c>
      <c r="J200">
        <v>500460</v>
      </c>
      <c r="K200">
        <v>400368</v>
      </c>
      <c r="L200">
        <v>100092</v>
      </c>
      <c r="M200" t="str">
        <f t="shared" si="6"/>
        <v>High Profit</v>
      </c>
    </row>
    <row r="201" spans="1:13">
      <c r="A201">
        <v>1072</v>
      </c>
      <c r="B201" s="1">
        <v>45729</v>
      </c>
      <c r="C201" t="s">
        <v>21</v>
      </c>
      <c r="D201" t="s">
        <v>19</v>
      </c>
      <c r="E201" t="s">
        <v>17</v>
      </c>
      <c r="F201" t="str">
        <f>INDEX(SalesData[Category],MATCH(SalesData[[#This Row],[Product]],SalesData[Product],0))</f>
        <v>Electronics</v>
      </c>
      <c r="G201" t="s">
        <v>18</v>
      </c>
      <c r="H201">
        <v>10</v>
      </c>
      <c r="I201">
        <v>50080</v>
      </c>
      <c r="J201">
        <v>500800</v>
      </c>
      <c r="K201">
        <v>400640</v>
      </c>
      <c r="L201">
        <v>100160</v>
      </c>
      <c r="M201" t="str">
        <f t="shared" si="6"/>
        <v>High Profit</v>
      </c>
    </row>
  </sheetData>
  <conditionalFormatting sqref="I2:I201">
    <cfRule type="iconSet" priority="6">
      <iconSet>
        <cfvo type="percent" val="0"/>
        <cfvo type="percent" val="33"/>
        <cfvo type="percent" val="67"/>
      </iconSet>
    </cfRule>
    <cfRule type="cellIs" dxfId="5" priority="12" operator="equal">
      <formula>500</formula>
    </cfRule>
  </conditionalFormatting>
  <conditionalFormatting sqref="B2:B201">
    <cfRule type="dataBar" priority="2">
      <dataBar>
        <cfvo type="min"/>
        <cfvo type="max"/>
        <color rgb="FFD6007B"/>
      </dataBar>
      <extLst>
        <ext xmlns:x14="http://schemas.microsoft.com/office/spreadsheetml/2009/9/main" uri="{B025F937-C7B1-47D3-B67F-A62EFF666E3E}">
          <x14:id>{77C03030-02F8-4A01-8209-431294EB441C}</x14:id>
        </ext>
      </extLst>
    </cfRule>
    <cfRule type="timePeriod" dxfId="4" priority="10" timePeriod="yesterday">
      <formula>FLOOR(B2,1)=TODAY()-1</formula>
    </cfRule>
  </conditionalFormatting>
  <conditionalFormatting sqref="G1:G1048576">
    <cfRule type="iconSet" priority="8">
      <iconSet>
        <cfvo type="percent" val="0"/>
        <cfvo type="percent" val="33"/>
        <cfvo type="percent" val="67"/>
      </iconSet>
    </cfRule>
  </conditionalFormatting>
  <conditionalFormatting sqref="L2:L201">
    <cfRule type="expression" dxfId="3" priority="1">
      <formula>$L2&gt;2000</formula>
    </cfRule>
    <cfRule type="iconSet" priority="7">
      <iconSet iconSet="3Arrows">
        <cfvo type="percent" val="0"/>
        <cfvo type="percent" val="33"/>
        <cfvo type="percent" val="67"/>
      </iconSet>
    </cfRule>
  </conditionalFormatting>
  <conditionalFormatting sqref="J2:J201">
    <cfRule type="iconSet" priority="4">
      <iconSet iconSet="3Symbols">
        <cfvo type="percent" val="0"/>
        <cfvo type="percent" val="33"/>
        <cfvo type="percent" val="67"/>
      </iconSe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7C03030-02F8-4A01-8209-431294EB441C}">
            <x14:dataBar minLength="0" maxLength="100" border="1" negativeBarBorderColorSameAsPositive="0">
              <x14:cfvo type="autoMin"/>
              <x14:cfvo type="autoMax"/>
              <x14:borderColor rgb="FFD6007B"/>
              <x14:negativeFillColor rgb="FFFF0000"/>
              <x14:negativeBorderColor rgb="FFFF0000"/>
              <x14:axisColor rgb="FF000000"/>
            </x14:dataBar>
          </x14:cfRule>
          <xm:sqref>B2:B201</xm:sqref>
        </x14:conditionalFormatting>
        <x14:conditionalFormatting xmlns:xm="http://schemas.microsoft.com/office/excel/2006/main">
          <x14:cfRule type="iconSet" priority="5" id="{8E017674-0CB5-417A-A3FF-241EF82B1B9C}">
            <x14:iconSet iconSet="3Stars">
              <x14:cfvo type="percent">
                <xm:f>0</xm:f>
              </x14:cfvo>
              <x14:cfvo type="percent">
                <xm:f>33</xm:f>
              </x14:cfvo>
              <x14:cfvo type="percent">
                <xm:f>67</xm:f>
              </x14:cfvo>
            </x14:iconSet>
          </x14:cfRule>
          <xm:sqref>G2:G201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6018-5D9A-4D83-8B44-E8134DF8FEF0}">
  <dimension ref="A1:B10"/>
  <sheetViews>
    <sheetView topLeftCell="A3" workbookViewId="0">
      <selection activeCell="L13" sqref="L13"/>
    </sheetView>
  </sheetViews>
  <sheetFormatPr defaultRowHeight="15"/>
  <cols>
    <col min="2" max="2" width="15.7109375" customWidth="1"/>
  </cols>
  <sheetData>
    <row r="1" spans="1:2">
      <c r="A1" s="4"/>
      <c r="B1" s="4"/>
    </row>
    <row r="2" spans="1:2" ht="30">
      <c r="A2" s="5" t="s">
        <v>40</v>
      </c>
      <c r="B2" s="5">
        <f>SUM(Sales_Data!J:J)</f>
        <v>15662608</v>
      </c>
    </row>
    <row r="3" spans="1:2" ht="30">
      <c r="A3" s="5" t="s">
        <v>41</v>
      </c>
      <c r="B3" s="5">
        <f>AVERAGE(SalesData[Sales])</f>
        <v>78313.039999999994</v>
      </c>
    </row>
    <row r="4" spans="1:2" ht="30">
      <c r="A4" s="5" t="s">
        <v>42</v>
      </c>
      <c r="B4" s="5">
        <f>MAX(SalesData[Sales])</f>
        <v>500800</v>
      </c>
    </row>
    <row r="5" spans="1:2" ht="30">
      <c r="A5" s="5" t="s">
        <v>43</v>
      </c>
      <c r="B5" s="5">
        <f>MIN(SalesData[Sales])</f>
        <v>854</v>
      </c>
    </row>
    <row r="6" spans="1:2" ht="30">
      <c r="A6" s="5" t="s">
        <v>44</v>
      </c>
      <c r="B6" s="5">
        <f>COUNT(SalesData[OrderID])</f>
        <v>200</v>
      </c>
    </row>
    <row r="7" spans="1:2" ht="30">
      <c r="A7" s="5" t="s">
        <v>45</v>
      </c>
      <c r="B7" s="5">
        <f>SUMIF(SalesData[Category],"Electronics",SalesData[Sales])</f>
        <v>14766300</v>
      </c>
    </row>
    <row r="8" spans="1:2" ht="45">
      <c r="A8" s="5" t="s">
        <v>46</v>
      </c>
      <c r="B8" s="5">
        <f>COUNTIF(SalesData[Region],"North")</f>
        <v>51</v>
      </c>
    </row>
    <row r="9" spans="1:2" ht="45">
      <c r="A9" s="5" t="s">
        <v>47</v>
      </c>
      <c r="B9" s="5">
        <f>SUMIFS(SalesData[Sales],SalesData[Region],"North",SalesData[Category],"Electronics")</f>
        <v>4927077</v>
      </c>
    </row>
    <row r="10" spans="1:2" ht="45">
      <c r="A10" s="5" t="s">
        <v>48</v>
      </c>
      <c r="B10" s="5">
        <f>COUNTIFS(SalesData[Region],"North",SalesData[Category],"Electronics")</f>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BE9061-7502-4884-ACA3-6750D88F57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Sheet3</vt:lpstr>
      <vt:lpstr>Dashboard</vt:lpstr>
      <vt:lpstr>Sales_Data</vt:lpstr>
      <vt:lpstr>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anupama eemani</cp:lastModifiedBy>
  <cp:lastPrinted>2026-06-30T11:31:49Z</cp:lastPrinted>
  <dcterms:created xsi:type="dcterms:W3CDTF">2026-06-30T03:52:25Z</dcterms:created>
  <dcterms:modified xsi:type="dcterms:W3CDTF">2026-06-30T11:33:21Z</dcterms:modified>
</cp:coreProperties>
</file>