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3125dfab8cfb77b3/Documents/"/>
    </mc:Choice>
  </mc:AlternateContent>
  <xr:revisionPtr revIDLastSave="3" documentId="11_CF4277931345224E6D2AC4F7495DCE3AA7C04BF7" xr6:coauthVersionLast="47" xr6:coauthVersionMax="47" xr10:uidLastSave="{A479C9BF-B61B-4F5E-858D-BCFEAACB9B33}"/>
  <bookViews>
    <workbookView xWindow="-120" yWindow="-120" windowWidth="20730" windowHeight="11040" xr2:uid="{00000000-000D-0000-FFFF-FFFF00000000}"/>
  </bookViews>
  <sheets>
    <sheet name="Call_Center_Data" sheetId="1" r:id="rId1"/>
    <sheet name="Sheet1" sheetId="3" r:id="rId2"/>
  </sheets>
  <definedNames>
    <definedName name="Slicer_Call_Type">#N/A</definedName>
    <definedName name="Slicer_City">#N/A</definedName>
    <definedName name="Slicer_Satisfaction">#N/A</definedName>
    <definedName name="Slicer_Shift">#N/A</definedName>
    <definedName name="Slicer_Team">#N/A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4:slicerCache r:id="rId5"/>
        <x14:slicerCache r:id="rId6"/>
        <x14:slicerCache r:id="rId7"/>
      </x15:slicerCaches>
    </ext>
  </extLst>
</workbook>
</file>

<file path=xl/calcChain.xml><?xml version="1.0" encoding="utf-8"?>
<calcChain xmlns="http://schemas.openxmlformats.org/spreadsheetml/2006/main">
  <c r="B10" i="3" l="1"/>
  <c r="B9" i="3"/>
  <c r="B8" i="3"/>
  <c r="B7" i="3"/>
  <c r="B6" i="3"/>
  <c r="B5" i="3"/>
</calcChain>
</file>

<file path=xl/sharedStrings.xml><?xml version="1.0" encoding="utf-8"?>
<sst xmlns="http://schemas.openxmlformats.org/spreadsheetml/2006/main" count="1821" uniqueCount="50">
  <si>
    <t>CallID</t>
  </si>
  <si>
    <t>Agent</t>
  </si>
  <si>
    <t>Team</t>
  </si>
  <si>
    <t>Date</t>
  </si>
  <si>
    <t>Shift</t>
  </si>
  <si>
    <t>Call Type</t>
  </si>
  <si>
    <t>Calls Handled</t>
  </si>
  <si>
    <t>Calls Resolved</t>
  </si>
  <si>
    <t>Avg Handle Time (min)</t>
  </si>
  <si>
    <t>Customer Rating</t>
  </si>
  <si>
    <t>Satisfaction</t>
  </si>
  <si>
    <t>City</t>
  </si>
  <si>
    <t>Kiran</t>
  </si>
  <si>
    <t>Team A</t>
  </si>
  <si>
    <t>Night</t>
  </si>
  <si>
    <t>General</t>
  </si>
  <si>
    <t>Dissatisfied</t>
  </si>
  <si>
    <t>Chennai</t>
  </si>
  <si>
    <t>Sneha</t>
  </si>
  <si>
    <t>Team C</t>
  </si>
  <si>
    <t>Technical</t>
  </si>
  <si>
    <t>Satisfied</t>
  </si>
  <si>
    <t>Hyderabad</t>
  </si>
  <si>
    <t>Amit</t>
  </si>
  <si>
    <t>Team B</t>
  </si>
  <si>
    <t>Billing</t>
  </si>
  <si>
    <t>Bangalore</t>
  </si>
  <si>
    <t>Evening</t>
  </si>
  <si>
    <t>Very Satisfied</t>
  </si>
  <si>
    <t>Anjali</t>
  </si>
  <si>
    <t>Complaint</t>
  </si>
  <si>
    <t>Neutral</t>
  </si>
  <si>
    <t>Pooja</t>
  </si>
  <si>
    <t>Pune</t>
  </si>
  <si>
    <t>Ravi</t>
  </si>
  <si>
    <t>Morning</t>
  </si>
  <si>
    <t>Rahul</t>
  </si>
  <si>
    <t>Mumbai</t>
  </si>
  <si>
    <t>Arjun</t>
  </si>
  <si>
    <t>Priya</t>
  </si>
  <si>
    <t>Neha</t>
  </si>
  <si>
    <t>Total Calls</t>
  </si>
  <si>
    <t>KPI</t>
  </si>
  <si>
    <t>Formula</t>
  </si>
  <si>
    <t>Resolved Calls</t>
  </si>
  <si>
    <t>Resolution Rate</t>
  </si>
  <si>
    <t>Average Handle Time</t>
  </si>
  <si>
    <t>Average Customer Rating</t>
  </si>
  <si>
    <t>Total Agents</t>
  </si>
  <si>
    <t>CALL CENTER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</si>
</sst>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6" x14ac:knownFonts="1">
    <font>
      <sz val="11"/>
      <color theme="1"/>
      <name val="Calibri"/>
      <family val="2"/>
      <scheme val="minor"/>
    </font>
    <font>
      <b/>
      <sz val="11"/>
      <name val="Calibri"/>
    </font>
    <font>
      <sz val="11"/>
      <color theme="1"/>
      <name val="Calibri"/>
      <family val="2"/>
      <scheme val="minor"/>
    </font>
    <font>
      <b/>
      <sz val="11"/>
      <name val="Calibri"/>
      <family val="2"/>
    </font>
    <font>
      <b/>
      <sz val="24"/>
      <color theme="0"/>
      <name val="Calibri"/>
      <family val="2"/>
      <scheme val="minor"/>
    </font>
    <font>
      <sz val="24"/>
      <color theme="0"/>
      <name val="Calibri"/>
      <family val="2"/>
      <scheme val="minor"/>
    </font>
  </fonts>
  <fills count="7">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6" tint="-0.249977111117893"/>
        <bgColor indexed="64"/>
      </patternFill>
    </fill>
    <fill>
      <patternFill patternType="solid">
        <fgColor theme="3"/>
        <bgColor indexed="64"/>
      </patternFill>
    </fill>
  </fills>
  <borders count="5">
    <border>
      <left/>
      <right/>
      <top/>
      <bottom/>
      <diagonal/>
    </border>
    <border>
      <left style="thin">
        <color theme="0"/>
      </left>
      <right style="thin">
        <color theme="0"/>
      </right>
      <top/>
      <bottom style="thick">
        <color theme="0"/>
      </bottom>
      <diagonal/>
    </border>
    <border>
      <left style="thin">
        <color theme="0"/>
      </left>
      <right/>
      <top/>
      <bottom style="thick">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s>
  <cellStyleXfs count="2">
    <xf numFmtId="0" fontId="0" fillId="0" borderId="0"/>
    <xf numFmtId="9" fontId="2" fillId="0" borderId="0" applyFont="0" applyFill="0" applyBorder="0" applyAlignment="0" applyProtection="0"/>
  </cellStyleXfs>
  <cellXfs count="13">
    <xf numFmtId="0" fontId="0" fillId="0" borderId="0" xfId="0"/>
    <xf numFmtId="0" fontId="1" fillId="0" borderId="0" xfId="0" applyFont="1"/>
    <xf numFmtId="164" fontId="0" fillId="0" borderId="0" xfId="0" applyNumberFormat="1"/>
    <xf numFmtId="0" fontId="0" fillId="3" borderId="3" xfId="0" applyFill="1" applyBorder="1"/>
    <xf numFmtId="0" fontId="0" fillId="3" borderId="4" xfId="0" applyFill="1" applyBorder="1"/>
    <xf numFmtId="0" fontId="0" fillId="4" borderId="3" xfId="0" applyFill="1" applyBorder="1"/>
    <xf numFmtId="0" fontId="0" fillId="4" borderId="4" xfId="0" applyFill="1" applyBorder="1"/>
    <xf numFmtId="0" fontId="3" fillId="2" borderId="1" xfId="0" applyFont="1" applyFill="1" applyBorder="1"/>
    <xf numFmtId="0" fontId="3" fillId="2" borderId="2" xfId="0" applyFont="1" applyFill="1" applyBorder="1"/>
    <xf numFmtId="9" fontId="0" fillId="3" borderId="4" xfId="1" applyFont="1" applyFill="1" applyBorder="1"/>
    <xf numFmtId="0" fontId="0" fillId="5" borderId="4" xfId="0" applyFill="1" applyBorder="1"/>
    <xf numFmtId="0" fontId="4" fillId="6" borderId="0" xfId="0" applyFont="1" applyFill="1" applyAlignment="1">
      <alignment horizontal="center"/>
    </xf>
    <xf numFmtId="0" fontId="5" fillId="6" borderId="0" xfId="0" applyFont="1" applyFill="1" applyAlignment="1">
      <alignment horizontal="center"/>
    </xf>
  </cellXfs>
  <cellStyles count="2">
    <cellStyle name="Normal" xfId="0" builtinId="0"/>
    <cellStyle name="Percent" xfId="1" builtinId="5"/>
  </cellStyles>
  <dxfs count="2">
    <dxf>
      <numFmt numFmtId="164" formatCode="dd\-mmm\-yyyy"/>
    </dxf>
    <dxf>
      <font>
        <b/>
        <i val="0"/>
        <strike val="0"/>
        <condense val="0"/>
        <extend val="0"/>
        <outline val="0"/>
        <shadow val="0"/>
        <u val="none"/>
        <vertAlign val="baseline"/>
        <sz val="11"/>
        <color auto="1"/>
        <name val="Calibri"/>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microsoft.com/office/2007/relationships/slicerCache" Target="slicerCaches/slicerCache1.xml"/><Relationship Id="rId7" Type="http://schemas.microsoft.com/office/2007/relationships/slicerCache" Target="slicerCaches/slicerCache5.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4.xml"/><Relationship Id="rId11" Type="http://schemas.openxmlformats.org/officeDocument/2006/relationships/calcChain" Target="calcChain.xml"/><Relationship Id="rId5" Type="http://schemas.microsoft.com/office/2007/relationships/slicerCache" Target="slicerCaches/slicerCache3.xml"/><Relationship Id="rId10" Type="http://schemas.openxmlformats.org/officeDocument/2006/relationships/sharedStrings" Target="sharedStrings.xml"/><Relationship Id="rId4" Type="http://schemas.microsoft.com/office/2007/relationships/slicerCache" Target="slicerCaches/slicerCache2.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3"/>
              <c:pt idx="0">
                <c:v>Team A</c:v>
              </c:pt>
              <c:pt idx="1">
                <c:v>Team B</c:v>
              </c:pt>
              <c:pt idx="2">
                <c:v>Team C</c:v>
              </c:pt>
            </c:strLit>
          </c:cat>
          <c:val>
            <c:numLit>
              <c:formatCode>General</c:formatCode>
              <c:ptCount val="3"/>
              <c:pt idx="0">
                <c:v>4495</c:v>
              </c:pt>
              <c:pt idx="1">
                <c:v>4312</c:v>
              </c:pt>
              <c:pt idx="2">
                <c:v>4185</c:v>
              </c:pt>
            </c:numLit>
          </c:val>
          <c:extLst>
            <c:ext xmlns:c16="http://schemas.microsoft.com/office/drawing/2014/chart" uri="{C3380CC4-5D6E-409C-BE32-E72D297353CC}">
              <c16:uniqueId val="{00000000-ADA2-4E56-B1D6-FE69EE13631F}"/>
            </c:ext>
          </c:extLst>
        </c:ser>
        <c:dLbls>
          <c:showLegendKey val="0"/>
          <c:showVal val="0"/>
          <c:showCatName val="0"/>
          <c:showSerName val="0"/>
          <c:showPercent val="0"/>
          <c:showBubbleSize val="0"/>
        </c:dLbls>
        <c:gapWidth val="219"/>
        <c:overlap val="-27"/>
        <c:axId val="1140437759"/>
        <c:axId val="1140440159"/>
      </c:barChart>
      <c:catAx>
        <c:axId val="114043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440159"/>
        <c:crosses val="autoZero"/>
        <c:auto val="1"/>
        <c:lblAlgn val="ctr"/>
        <c:lblOffset val="100"/>
        <c:noMultiLvlLbl val="0"/>
      </c:catAx>
      <c:valAx>
        <c:axId val="1140440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437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Amit</c:v>
              </c:pt>
              <c:pt idx="1">
                <c:v>Anjali</c:v>
              </c:pt>
              <c:pt idx="2">
                <c:v>Arjun</c:v>
              </c:pt>
              <c:pt idx="3">
                <c:v>Kiran</c:v>
              </c:pt>
              <c:pt idx="4">
                <c:v>Neha</c:v>
              </c:pt>
              <c:pt idx="5">
                <c:v>Pooja</c:v>
              </c:pt>
              <c:pt idx="6">
                <c:v>Priya</c:v>
              </c:pt>
              <c:pt idx="7">
                <c:v>Rahul</c:v>
              </c:pt>
              <c:pt idx="8">
                <c:v>Ravi</c:v>
              </c:pt>
              <c:pt idx="9">
                <c:v>Sneha</c:v>
              </c:pt>
            </c:strLit>
          </c:cat>
          <c:val>
            <c:numLit>
              <c:formatCode>General</c:formatCode>
              <c:ptCount val="10"/>
              <c:pt idx="0">
                <c:v>1324</c:v>
              </c:pt>
              <c:pt idx="1">
                <c:v>1576</c:v>
              </c:pt>
              <c:pt idx="2">
                <c:v>1139</c:v>
              </c:pt>
              <c:pt idx="3">
                <c:v>1486</c:v>
              </c:pt>
              <c:pt idx="4">
                <c:v>1440</c:v>
              </c:pt>
              <c:pt idx="5">
                <c:v>983</c:v>
              </c:pt>
              <c:pt idx="6">
                <c:v>1249</c:v>
              </c:pt>
              <c:pt idx="7">
                <c:v>1318</c:v>
              </c:pt>
              <c:pt idx="8">
                <c:v>1405</c:v>
              </c:pt>
              <c:pt idx="9">
                <c:v>1072</c:v>
              </c:pt>
            </c:numLit>
          </c:val>
          <c:extLst>
            <c:ext xmlns:c16="http://schemas.microsoft.com/office/drawing/2014/chart" uri="{C3380CC4-5D6E-409C-BE32-E72D297353CC}">
              <c16:uniqueId val="{00000000-D230-4CEB-A8CB-DEA212C1665A}"/>
            </c:ext>
          </c:extLst>
        </c:ser>
        <c:dLbls>
          <c:showLegendKey val="0"/>
          <c:showVal val="0"/>
          <c:showCatName val="0"/>
          <c:showSerName val="0"/>
          <c:showPercent val="0"/>
          <c:showBubbleSize val="0"/>
        </c:dLbls>
        <c:gapWidth val="182"/>
        <c:axId val="1140425279"/>
        <c:axId val="1140451679"/>
      </c:barChart>
      <c:catAx>
        <c:axId val="1140425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451679"/>
        <c:crosses val="autoZero"/>
        <c:auto val="1"/>
        <c:lblAlgn val="ctr"/>
        <c:lblOffset val="100"/>
        <c:noMultiLvlLbl val="0"/>
      </c:catAx>
      <c:valAx>
        <c:axId val="11404516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425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3"/>
              <c:pt idx="0">
                <c:v>Evening</c:v>
              </c:pt>
              <c:pt idx="1">
                <c:v>Morning</c:v>
              </c:pt>
              <c:pt idx="2">
                <c:v>Night</c:v>
              </c:pt>
            </c:strLit>
          </c:cat>
          <c:val>
            <c:numLit>
              <c:formatCode>General</c:formatCode>
              <c:ptCount val="3"/>
              <c:pt idx="0">
                <c:v>4024</c:v>
              </c:pt>
              <c:pt idx="1">
                <c:v>4150</c:v>
              </c:pt>
              <c:pt idx="2">
                <c:v>4818</c:v>
              </c:pt>
            </c:numLit>
          </c:val>
          <c:extLst>
            <c:ext xmlns:c16="http://schemas.microsoft.com/office/drawing/2014/chart" uri="{C3380CC4-5D6E-409C-BE32-E72D297353CC}">
              <c16:uniqueId val="{00000000-DB05-475E-993D-2FAFD18F7F3F}"/>
            </c:ext>
          </c:extLst>
        </c:ser>
        <c:dLbls>
          <c:showLegendKey val="0"/>
          <c:showVal val="0"/>
          <c:showCatName val="0"/>
          <c:showSerName val="0"/>
          <c:showPercent val="0"/>
          <c:showBubbleSize val="0"/>
        </c:dLbls>
        <c:gapWidth val="219"/>
        <c:overlap val="-27"/>
        <c:axId val="1140443999"/>
        <c:axId val="1140427199"/>
      </c:barChart>
      <c:catAx>
        <c:axId val="1140443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427199"/>
        <c:crosses val="autoZero"/>
        <c:auto val="1"/>
        <c:lblAlgn val="ctr"/>
        <c:lblOffset val="100"/>
        <c:noMultiLvlLbl val="0"/>
      </c:catAx>
      <c:valAx>
        <c:axId val="1140427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443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6967121363350708"/>
          <c:y val="0.2046544754938164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5"/>
              <c:pt idx="0">
                <c:v>Bangalore</c:v>
              </c:pt>
              <c:pt idx="1">
                <c:v>Chennai</c:v>
              </c:pt>
              <c:pt idx="2">
                <c:v>Hyderabad</c:v>
              </c:pt>
              <c:pt idx="3">
                <c:v>Mumbai</c:v>
              </c:pt>
              <c:pt idx="4">
                <c:v>Pune</c:v>
              </c:pt>
            </c:strLit>
          </c:cat>
          <c:val>
            <c:numLit>
              <c:formatCode>General</c:formatCode>
              <c:ptCount val="5"/>
              <c:pt idx="0">
                <c:v>2365</c:v>
              </c:pt>
              <c:pt idx="1">
                <c:v>2517</c:v>
              </c:pt>
              <c:pt idx="2">
                <c:v>2867</c:v>
              </c:pt>
              <c:pt idx="3">
                <c:v>2744</c:v>
              </c:pt>
              <c:pt idx="4">
                <c:v>2499</c:v>
              </c:pt>
            </c:numLit>
          </c:val>
          <c:extLst>
            <c:ext xmlns:c16="http://schemas.microsoft.com/office/drawing/2014/chart" uri="{C3380CC4-5D6E-409C-BE32-E72D297353CC}">
              <c16:uniqueId val="{00000000-ADC4-4F65-8917-7220D5E25751}"/>
            </c:ext>
          </c:extLst>
        </c:ser>
        <c:dLbls>
          <c:showLegendKey val="0"/>
          <c:showVal val="0"/>
          <c:showCatName val="0"/>
          <c:showSerName val="0"/>
          <c:showPercent val="0"/>
          <c:showBubbleSize val="0"/>
        </c:dLbls>
        <c:gapWidth val="182"/>
        <c:axId val="1140455519"/>
        <c:axId val="1140455999"/>
      </c:barChart>
      <c:catAx>
        <c:axId val="1140455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455999"/>
        <c:crosses val="autoZero"/>
        <c:auto val="1"/>
        <c:lblAlgn val="ctr"/>
        <c:lblOffset val="100"/>
        <c:noMultiLvlLbl val="0"/>
      </c:catAx>
      <c:valAx>
        <c:axId val="11404559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45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0847784200385353"/>
          <c:y val="0.315824855891408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3"/>
              <c:pt idx="0">
                <c:v>Team A</c:v>
              </c:pt>
              <c:pt idx="1">
                <c:v>Team B</c:v>
              </c:pt>
              <c:pt idx="2">
                <c:v>Team C</c:v>
              </c:pt>
            </c:strLit>
          </c:cat>
          <c:val>
            <c:numLit>
              <c:formatCode>General</c:formatCode>
              <c:ptCount val="3"/>
              <c:pt idx="0">
                <c:v>4176</c:v>
              </c:pt>
              <c:pt idx="1">
                <c:v>4016</c:v>
              </c:pt>
              <c:pt idx="2">
                <c:v>3895</c:v>
              </c:pt>
            </c:numLit>
          </c:val>
          <c:extLst>
            <c:ext xmlns:c16="http://schemas.microsoft.com/office/drawing/2014/chart" uri="{C3380CC4-5D6E-409C-BE32-E72D297353CC}">
              <c16:uniqueId val="{00000000-305E-4CDD-8D31-4106DA82013D}"/>
            </c:ext>
          </c:extLst>
        </c:ser>
        <c:dLbls>
          <c:showLegendKey val="0"/>
          <c:showVal val="0"/>
          <c:showCatName val="0"/>
          <c:showSerName val="0"/>
          <c:showPercent val="0"/>
          <c:showBubbleSize val="0"/>
        </c:dLbls>
        <c:gapWidth val="219"/>
        <c:overlap val="-27"/>
        <c:axId val="1167501887"/>
        <c:axId val="1167499007"/>
      </c:barChart>
      <c:catAx>
        <c:axId val="116750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499007"/>
        <c:crosses val="autoZero"/>
        <c:auto val="1"/>
        <c:lblAlgn val="ctr"/>
        <c:lblOffset val="100"/>
        <c:noMultiLvlLbl val="0"/>
      </c:catAx>
      <c:valAx>
        <c:axId val="116749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501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FD-42CA-8A0E-E0C01ACBB8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FD-42CA-8A0E-E0C01ACBB8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FD-42CA-8A0E-E0C01ACBB8E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3FD-42CA-8A0E-E0C01ACBB8E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3FD-42CA-8A0E-E0C01ACBB8E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3FD-42CA-8A0E-E0C01ACBB8E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3FD-42CA-8A0E-E0C01ACBB8E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3FD-42CA-8A0E-E0C01ACBB8E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3FD-42CA-8A0E-E0C01ACBB8E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3FD-42CA-8A0E-E0C01ACBB8E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3FD-42CA-8A0E-E0C01ACBB8E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3FD-42CA-8A0E-E0C01ACBB8E4}"/>
              </c:ext>
            </c:extLst>
          </c:dPt>
          <c:cat>
            <c:strLit>
              <c:ptCount val="12"/>
              <c:pt idx="0">
                <c:v>Dissatisfied Evening</c:v>
              </c:pt>
              <c:pt idx="1">
                <c:v>Dissatisfied Morning</c:v>
              </c:pt>
              <c:pt idx="2">
                <c:v>Dissatisfied Night</c:v>
              </c:pt>
              <c:pt idx="3">
                <c:v>Neutral Evening</c:v>
              </c:pt>
              <c:pt idx="4">
                <c:v>Neutral Morning</c:v>
              </c:pt>
              <c:pt idx="5">
                <c:v>Neutral Night</c:v>
              </c:pt>
              <c:pt idx="6">
                <c:v>Satisfied Evening</c:v>
              </c:pt>
              <c:pt idx="7">
                <c:v>Satisfied Morning</c:v>
              </c:pt>
              <c:pt idx="8">
                <c:v>Satisfied Night</c:v>
              </c:pt>
              <c:pt idx="9">
                <c:v>Very Satisfied Evening</c:v>
              </c:pt>
              <c:pt idx="10">
                <c:v>Very Satisfied Morning</c:v>
              </c:pt>
              <c:pt idx="11">
                <c:v>Very Satisfied Night</c:v>
              </c:pt>
            </c:strLit>
          </c:cat>
          <c:val>
            <c:numLit>
              <c:formatCode>General</c:formatCode>
              <c:ptCount val="12"/>
              <c:pt idx="0">
                <c:v>19</c:v>
              </c:pt>
              <c:pt idx="1">
                <c:v>21</c:v>
              </c:pt>
              <c:pt idx="2">
                <c:v>28</c:v>
              </c:pt>
              <c:pt idx="3">
                <c:v>24</c:v>
              </c:pt>
              <c:pt idx="4">
                <c:v>29</c:v>
              </c:pt>
              <c:pt idx="5">
                <c:v>31</c:v>
              </c:pt>
              <c:pt idx="6">
                <c:v>24</c:v>
              </c:pt>
              <c:pt idx="7">
                <c:v>28</c:v>
              </c:pt>
              <c:pt idx="8">
                <c:v>27</c:v>
              </c:pt>
              <c:pt idx="9">
                <c:v>24</c:v>
              </c:pt>
              <c:pt idx="10">
                <c:v>22</c:v>
              </c:pt>
              <c:pt idx="11">
                <c:v>23</c:v>
              </c:pt>
            </c:numLit>
          </c:val>
          <c:extLst>
            <c:ext xmlns:c16="http://schemas.microsoft.com/office/drawing/2014/chart" uri="{C3380CC4-5D6E-409C-BE32-E72D297353CC}">
              <c16:uniqueId val="{00000018-03FD-42CA-8A0E-E0C01ACBB8E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161925</xdr:colOff>
      <xdr:row>2</xdr:row>
      <xdr:rowOff>142876</xdr:rowOff>
    </xdr:from>
    <xdr:to>
      <xdr:col>9</xdr:col>
      <xdr:colOff>57150</xdr:colOff>
      <xdr:row>11</xdr:row>
      <xdr:rowOff>180976</xdr:rowOff>
    </xdr:to>
    <xdr:graphicFrame macro="">
      <xdr:nvGraphicFramePr>
        <xdr:cNvPr id="2" name="Chart 1">
          <a:extLst>
            <a:ext uri="{FF2B5EF4-FFF2-40B4-BE49-F238E27FC236}">
              <a16:creationId xmlns:a16="http://schemas.microsoft.com/office/drawing/2014/main" id="{DE953C90-CFDE-47D7-A450-EE0A548574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247651</xdr:colOff>
      <xdr:row>2</xdr:row>
      <xdr:rowOff>95251</xdr:rowOff>
    </xdr:from>
    <xdr:to>
      <xdr:col>13</xdr:col>
      <xdr:colOff>495300</xdr:colOff>
      <xdr:row>12</xdr:row>
      <xdr:rowOff>80963</xdr:rowOff>
    </xdr:to>
    <xdr:graphicFrame macro="">
      <xdr:nvGraphicFramePr>
        <xdr:cNvPr id="3" name="Chart 2">
          <a:extLst>
            <a:ext uri="{FF2B5EF4-FFF2-40B4-BE49-F238E27FC236}">
              <a16:creationId xmlns:a16="http://schemas.microsoft.com/office/drawing/2014/main" id="{F47AB2AE-6B13-42FC-B10A-9198F513B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895350</xdr:colOff>
      <xdr:row>12</xdr:row>
      <xdr:rowOff>28575</xdr:rowOff>
    </xdr:from>
    <xdr:to>
      <xdr:col>4</xdr:col>
      <xdr:colOff>380999</xdr:colOff>
      <xdr:row>21</xdr:row>
      <xdr:rowOff>76200</xdr:rowOff>
    </xdr:to>
    <xdr:graphicFrame macro="">
      <xdr:nvGraphicFramePr>
        <xdr:cNvPr id="4" name="Chart 3">
          <a:extLst>
            <a:ext uri="{FF2B5EF4-FFF2-40B4-BE49-F238E27FC236}">
              <a16:creationId xmlns:a16="http://schemas.microsoft.com/office/drawing/2014/main" id="{9F3B1C9B-E981-4704-8041-21C4C6D17F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76200</xdr:colOff>
      <xdr:row>13</xdr:row>
      <xdr:rowOff>9525</xdr:rowOff>
    </xdr:from>
    <xdr:to>
      <xdr:col>10</xdr:col>
      <xdr:colOff>152399</xdr:colOff>
      <xdr:row>21</xdr:row>
      <xdr:rowOff>85726</xdr:rowOff>
    </xdr:to>
    <xdr:graphicFrame macro="">
      <xdr:nvGraphicFramePr>
        <xdr:cNvPr id="5" name="Chart 4">
          <a:extLst>
            <a:ext uri="{FF2B5EF4-FFF2-40B4-BE49-F238E27FC236}">
              <a16:creationId xmlns:a16="http://schemas.microsoft.com/office/drawing/2014/main" id="{678E8DE6-3B5F-4A86-95A9-186E902DF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504824</xdr:colOff>
      <xdr:row>22</xdr:row>
      <xdr:rowOff>19050</xdr:rowOff>
    </xdr:from>
    <xdr:to>
      <xdr:col>9</xdr:col>
      <xdr:colOff>257175</xdr:colOff>
      <xdr:row>33</xdr:row>
      <xdr:rowOff>152400</xdr:rowOff>
    </xdr:to>
    <xdr:graphicFrame macro="">
      <xdr:nvGraphicFramePr>
        <xdr:cNvPr id="6" name="Chart 5">
          <a:extLst>
            <a:ext uri="{FF2B5EF4-FFF2-40B4-BE49-F238E27FC236}">
              <a16:creationId xmlns:a16="http://schemas.microsoft.com/office/drawing/2014/main" id="{55E77042-66A7-40AD-A241-076EB19A9A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22</xdr:row>
      <xdr:rowOff>9525</xdr:rowOff>
    </xdr:from>
    <xdr:to>
      <xdr:col>4</xdr:col>
      <xdr:colOff>381000</xdr:colOff>
      <xdr:row>33</xdr:row>
      <xdr:rowOff>47625</xdr:rowOff>
    </xdr:to>
    <xdr:graphicFrame macro="">
      <xdr:nvGraphicFramePr>
        <xdr:cNvPr id="7" name="Chart 6">
          <a:extLst>
            <a:ext uri="{FF2B5EF4-FFF2-40B4-BE49-F238E27FC236}">
              <a16:creationId xmlns:a16="http://schemas.microsoft.com/office/drawing/2014/main" id="{5AE977BB-D170-4D08-95E9-564C45F53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4</xdr:col>
      <xdr:colOff>381000</xdr:colOff>
      <xdr:row>35</xdr:row>
      <xdr:rowOff>47625</xdr:rowOff>
    </xdr:from>
    <xdr:to>
      <xdr:col>7</xdr:col>
      <xdr:colOff>381000</xdr:colOff>
      <xdr:row>48</xdr:row>
      <xdr:rowOff>95250</xdr:rowOff>
    </xdr:to>
    <mc:AlternateContent xmlns:mc="http://schemas.openxmlformats.org/markup-compatibility/2006">
      <mc:Choice xmlns:sle15="http://schemas.microsoft.com/office/drawing/2012/slicer" Requires="sle15">
        <xdr:graphicFrame macro="">
          <xdr:nvGraphicFramePr>
            <xdr:cNvPr id="8" name="Team">
              <a:extLst>
                <a:ext uri="{FF2B5EF4-FFF2-40B4-BE49-F238E27FC236}">
                  <a16:creationId xmlns:a16="http://schemas.microsoft.com/office/drawing/2014/main" id="{3EB3E5D5-22B6-496E-AFDF-5924F597BA02}"/>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dr:sp macro="" textlink="">
          <xdr:nvSpPr>
            <xdr:cNvPr id="0" name=""/>
            <xdr:cNvSpPr>
              <a:spLocks noTextEdit="1"/>
            </xdr:cNvSpPr>
          </xdr:nvSpPr>
          <xdr:spPr>
            <a:xfrm>
              <a:off x="3790950" y="67341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361950</xdr:colOff>
      <xdr:row>35</xdr:row>
      <xdr:rowOff>19050</xdr:rowOff>
    </xdr:from>
    <xdr:to>
      <xdr:col>10</xdr:col>
      <xdr:colOff>361950</xdr:colOff>
      <xdr:row>48</xdr:row>
      <xdr:rowOff>66675</xdr:rowOff>
    </xdr:to>
    <mc:AlternateContent xmlns:mc="http://schemas.openxmlformats.org/markup-compatibility/2006">
      <mc:Choice xmlns:sle15="http://schemas.microsoft.com/office/drawing/2012/slicer" Requires="sle15">
        <xdr:graphicFrame macro="">
          <xdr:nvGraphicFramePr>
            <xdr:cNvPr id="9" name="Shift">
              <a:extLst>
                <a:ext uri="{FF2B5EF4-FFF2-40B4-BE49-F238E27FC236}">
                  <a16:creationId xmlns:a16="http://schemas.microsoft.com/office/drawing/2014/main" id="{F5A34C92-05F0-4655-9FD0-F68258C9566B}"/>
                </a:ext>
              </a:extLst>
            </xdr:cNvPr>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dr:sp macro="" textlink="">
          <xdr:nvSpPr>
            <xdr:cNvPr id="0" name=""/>
            <xdr:cNvSpPr>
              <a:spLocks noTextEdit="1"/>
            </xdr:cNvSpPr>
          </xdr:nvSpPr>
          <xdr:spPr>
            <a:xfrm>
              <a:off x="5600700" y="6705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361950</xdr:colOff>
      <xdr:row>35</xdr:row>
      <xdr:rowOff>0</xdr:rowOff>
    </xdr:from>
    <xdr:to>
      <xdr:col>13</xdr:col>
      <xdr:colOff>361950</xdr:colOff>
      <xdr:row>48</xdr:row>
      <xdr:rowOff>47625</xdr:rowOff>
    </xdr:to>
    <mc:AlternateContent xmlns:mc="http://schemas.openxmlformats.org/markup-compatibility/2006">
      <mc:Choice xmlns:sle15="http://schemas.microsoft.com/office/drawing/2012/slicer" Requires="sle15">
        <xdr:graphicFrame macro="">
          <xdr:nvGraphicFramePr>
            <xdr:cNvPr id="10" name="Call Type">
              <a:extLst>
                <a:ext uri="{FF2B5EF4-FFF2-40B4-BE49-F238E27FC236}">
                  <a16:creationId xmlns:a16="http://schemas.microsoft.com/office/drawing/2014/main" id="{684C27D5-BDDE-4BED-BBD1-DA94D25C2F60}"/>
                </a:ext>
              </a:extLst>
            </xdr:cNvPr>
            <xdr:cNvGraphicFramePr/>
          </xdr:nvGraphicFramePr>
          <xdr:xfrm>
            <a:off x="0" y="0"/>
            <a:ext cx="0" cy="0"/>
          </xdr:xfrm>
          <a:graphic>
            <a:graphicData uri="http://schemas.microsoft.com/office/drawing/2010/slicer">
              <sle:slicer xmlns:sle="http://schemas.microsoft.com/office/drawing/2010/slicer" name="Call Type"/>
            </a:graphicData>
          </a:graphic>
        </xdr:graphicFrame>
      </mc:Choice>
      <mc:Fallback>
        <xdr:sp macro="" textlink="">
          <xdr:nvSpPr>
            <xdr:cNvPr id="0" name=""/>
            <xdr:cNvSpPr>
              <a:spLocks noTextEdit="1"/>
            </xdr:cNvSpPr>
          </xdr:nvSpPr>
          <xdr:spPr>
            <a:xfrm>
              <a:off x="7429500" y="6686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38100</xdr:colOff>
      <xdr:row>35</xdr:row>
      <xdr:rowOff>114300</xdr:rowOff>
    </xdr:from>
    <xdr:to>
      <xdr:col>1</xdr:col>
      <xdr:colOff>285750</xdr:colOff>
      <xdr:row>48</xdr:row>
      <xdr:rowOff>161925</xdr:rowOff>
    </xdr:to>
    <mc:AlternateContent xmlns:mc="http://schemas.openxmlformats.org/markup-compatibility/2006">
      <mc:Choice xmlns:sle15="http://schemas.microsoft.com/office/drawing/2012/slicer" Requires="sle15">
        <xdr:graphicFrame macro="">
          <xdr:nvGraphicFramePr>
            <xdr:cNvPr id="11" name="Satisfaction">
              <a:extLst>
                <a:ext uri="{FF2B5EF4-FFF2-40B4-BE49-F238E27FC236}">
                  <a16:creationId xmlns:a16="http://schemas.microsoft.com/office/drawing/2014/main" id="{F4952F30-BF9C-425F-BF92-1FDC79260F61}"/>
                </a:ext>
              </a:extLst>
            </xdr:cNvPr>
            <xdr:cNvGraphicFramePr/>
          </xdr:nvGraphicFramePr>
          <xdr:xfrm>
            <a:off x="0" y="0"/>
            <a:ext cx="0" cy="0"/>
          </xdr:xfrm>
          <a:graphic>
            <a:graphicData uri="http://schemas.microsoft.com/office/drawing/2010/slicer">
              <sle:slicer xmlns:sle="http://schemas.microsoft.com/office/drawing/2010/slicer" name="Satisfaction"/>
            </a:graphicData>
          </a:graphic>
        </xdr:graphicFrame>
      </mc:Choice>
      <mc:Fallback>
        <xdr:sp macro="" textlink="">
          <xdr:nvSpPr>
            <xdr:cNvPr id="0" name=""/>
            <xdr:cNvSpPr>
              <a:spLocks noTextEdit="1"/>
            </xdr:cNvSpPr>
          </xdr:nvSpPr>
          <xdr:spPr>
            <a:xfrm>
              <a:off x="38100" y="6800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333375</xdr:colOff>
      <xdr:row>35</xdr:row>
      <xdr:rowOff>85725</xdr:rowOff>
    </xdr:from>
    <xdr:to>
      <xdr:col>4</xdr:col>
      <xdr:colOff>333375</xdr:colOff>
      <xdr:row>48</xdr:row>
      <xdr:rowOff>133350</xdr:rowOff>
    </xdr:to>
    <mc:AlternateContent xmlns:mc="http://schemas.openxmlformats.org/markup-compatibility/2006">
      <mc:Choice xmlns:sle15="http://schemas.microsoft.com/office/drawing/2012/slicer" Requires="sle15">
        <xdr:graphicFrame macro="">
          <xdr:nvGraphicFramePr>
            <xdr:cNvPr id="12" name="City">
              <a:extLst>
                <a:ext uri="{FF2B5EF4-FFF2-40B4-BE49-F238E27FC236}">
                  <a16:creationId xmlns:a16="http://schemas.microsoft.com/office/drawing/2014/main" id="{E111B08C-03B2-4FCC-98F3-540633FD830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914525" y="67722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9DD53023-584D-4E14-A9EF-DC7E623875E6}" sourceName="Team">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0A2B7ED6-3513-42DA-9C3F-8379E67FB016}" sourceName="Shift">
  <extLst>
    <x:ext xmlns:x15="http://schemas.microsoft.com/office/spreadsheetml/2010/11/main" uri="{2F2917AC-EB37-4324-AD4E-5DD8C200BD13}">
      <x15:tableSlicerCache tableId="1"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l_Type" xr10:uid="{C1D5CC4A-D946-48AB-BEB4-9F261346903D}" sourceName="Call Type">
  <extLst>
    <x:ext xmlns:x15="http://schemas.microsoft.com/office/spreadsheetml/2010/11/main" uri="{2F2917AC-EB37-4324-AD4E-5DD8C200BD13}">
      <x15:tableSlicerCache tableId="1" column="6"/>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tisfaction" xr10:uid="{5425EA28-7A07-42DD-B805-DDFC5FD4C86B}" sourceName="Satisfaction">
  <extLst>
    <x:ext xmlns:x15="http://schemas.microsoft.com/office/spreadsheetml/2010/11/main" uri="{2F2917AC-EB37-4324-AD4E-5DD8C200BD13}">
      <x15:tableSlicerCache tableId="1" column="11"/>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5CBC59C-C2C2-4C60-93D6-EF497F1B499A}" sourceName="City">
  <extLst>
    <x:ext xmlns:x15="http://schemas.microsoft.com/office/spreadsheetml/2010/11/main" uri="{2F2917AC-EB37-4324-AD4E-5DD8C200BD13}">
      <x15:tableSlicerCache tableId="1" column="1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F75A4052-7AE0-4CDA-9FD0-A9C8D3CE2D92}" cache="Slicer_Team" caption="Team" rowHeight="241300"/>
  <slicer name="Shift" xr10:uid="{7E43468E-E442-42F8-A531-06C44D0AE3F6}" cache="Slicer_Shift" caption="Shift" rowHeight="241300"/>
  <slicer name="Call Type" xr10:uid="{AEE1AF0A-E666-436C-9B2B-1FEA37710D3D}" cache="Slicer_Call_Type" caption="Call Type" rowHeight="241300"/>
  <slicer name="Satisfaction" xr10:uid="{F1B911C1-935F-4580-9CBD-9C7C51C5B7EF}" cache="Slicer_Satisfaction" caption="Satisfaction" rowHeight="241300"/>
  <slicer name="City" xr10:uid="{D570B42D-C65F-4E3C-97A7-E2DB875AD726}" cache="Slicer_City" caption="Cit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8CBA05-DA3A-4A60-A523-754FAAD087E0}" name="CallCenter" displayName="CallCenter" ref="A1:L301" totalsRowShown="0" headerRowDxfId="1">
  <autoFilter ref="A1:L301" xr:uid="{148CBA05-DA3A-4A60-A523-754FAAD087E0}">
    <filterColumn colId="5">
      <filters>
        <filter val="Billing"/>
      </filters>
    </filterColumn>
  </autoFilter>
  <tableColumns count="12">
    <tableColumn id="1" xr3:uid="{0BB2C2AD-0FBA-44CA-BA6D-6EFA51F9C2A0}" name="CallID"/>
    <tableColumn id="2" xr3:uid="{DC79C57D-8CCC-45DD-8235-DCF0D3A754BE}" name="Agent"/>
    <tableColumn id="3" xr3:uid="{24B8FAB5-C0E8-4686-AE97-9F6963127038}" name="Team"/>
    <tableColumn id="4" xr3:uid="{69ED260B-382F-496B-8828-0564522016D6}" name="Date" dataDxfId="0"/>
    <tableColumn id="5" xr3:uid="{98AB6B8A-3C67-42FC-9B38-4E90FE4147CC}" name="Shift"/>
    <tableColumn id="6" xr3:uid="{6A6338A3-484D-4E63-BA02-2D128E5E60A9}" name="Call Type"/>
    <tableColumn id="7" xr3:uid="{5FDD2E7A-731F-4439-8D23-C665A731DC85}" name="Calls Handled"/>
    <tableColumn id="8" xr3:uid="{03A4829C-5388-4DF2-88CF-C312473E864F}" name="Calls Resolved"/>
    <tableColumn id="9" xr3:uid="{4EDBE6F6-6D7C-4DC9-BE63-337241FFF994}" name="Avg Handle Time (min)"/>
    <tableColumn id="10" xr3:uid="{C2DEA55B-5D37-43B9-B3B4-19FE3DAFBEFA}" name="Customer Rating"/>
    <tableColumn id="11" xr3:uid="{17483B9E-C99B-48E3-8BD8-5E39A8E27FFA}" name="Satisfaction"/>
    <tableColumn id="12" xr3:uid="{38EE7DC7-0FA9-4FEA-BB88-CDE8005CEBFF}" name="Cit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1"/>
  <sheetViews>
    <sheetView tabSelected="1" topLeftCell="A2" workbookViewId="0">
      <selection sqref="A1:L301"/>
    </sheetView>
  </sheetViews>
  <sheetFormatPr defaultRowHeight="15" x14ac:dyDescent="0.25"/>
  <cols>
    <col min="2" max="2" width="10.7109375" customWidth="1"/>
    <col min="4" max="4" width="12.28515625" customWidth="1"/>
    <col min="5" max="5" width="8.42578125" bestFit="1" customWidth="1"/>
    <col min="6" max="6" width="11.140625" customWidth="1"/>
    <col min="7" max="7" width="15.140625" customWidth="1"/>
    <col min="8" max="8" width="15.85546875" customWidth="1"/>
    <col min="9" max="9" width="23.28515625" customWidth="1"/>
    <col min="10" max="10" width="17.7109375" customWidth="1"/>
    <col min="11" max="11" width="13.42578125" bestFit="1" customWidth="1"/>
    <col min="12" max="12" width="10.5703125" bestFit="1"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hidden="1" x14ac:dyDescent="0.25">
      <c r="A2">
        <v>1001</v>
      </c>
      <c r="B2" t="s">
        <v>12</v>
      </c>
      <c r="C2" t="s">
        <v>13</v>
      </c>
      <c r="D2" s="2">
        <v>45754</v>
      </c>
      <c r="E2" t="s">
        <v>14</v>
      </c>
      <c r="F2" t="s">
        <v>15</v>
      </c>
      <c r="G2">
        <v>45</v>
      </c>
      <c r="H2">
        <v>42</v>
      </c>
      <c r="I2">
        <v>4.8</v>
      </c>
      <c r="J2">
        <v>3</v>
      </c>
      <c r="K2" t="s">
        <v>16</v>
      </c>
      <c r="L2" t="s">
        <v>17</v>
      </c>
    </row>
    <row r="3" spans="1:12" hidden="1" x14ac:dyDescent="0.25">
      <c r="A3">
        <v>1002</v>
      </c>
      <c r="B3" t="s">
        <v>18</v>
      </c>
      <c r="C3" t="s">
        <v>19</v>
      </c>
      <c r="D3" s="2">
        <v>45712</v>
      </c>
      <c r="E3" t="s">
        <v>14</v>
      </c>
      <c r="F3" t="s">
        <v>20</v>
      </c>
      <c r="G3">
        <v>46</v>
      </c>
      <c r="H3">
        <v>40</v>
      </c>
      <c r="I3">
        <v>5</v>
      </c>
      <c r="J3">
        <v>1</v>
      </c>
      <c r="K3" t="s">
        <v>21</v>
      </c>
      <c r="L3" t="s">
        <v>22</v>
      </c>
    </row>
    <row r="4" spans="1:12" x14ac:dyDescent="0.25">
      <c r="A4">
        <v>1003</v>
      </c>
      <c r="B4" t="s">
        <v>23</v>
      </c>
      <c r="C4" t="s">
        <v>24</v>
      </c>
      <c r="D4" s="2">
        <v>45767</v>
      </c>
      <c r="E4" t="s">
        <v>14</v>
      </c>
      <c r="F4" t="s">
        <v>25</v>
      </c>
      <c r="G4">
        <v>38</v>
      </c>
      <c r="H4">
        <v>35</v>
      </c>
      <c r="I4">
        <v>5.6</v>
      </c>
      <c r="J4">
        <v>5</v>
      </c>
      <c r="K4" t="s">
        <v>16</v>
      </c>
      <c r="L4" t="s">
        <v>26</v>
      </c>
    </row>
    <row r="5" spans="1:12" hidden="1" x14ac:dyDescent="0.25">
      <c r="A5">
        <v>1004</v>
      </c>
      <c r="B5" t="s">
        <v>23</v>
      </c>
      <c r="C5" t="s">
        <v>19</v>
      </c>
      <c r="D5" s="2">
        <v>45802</v>
      </c>
      <c r="E5" t="s">
        <v>27</v>
      </c>
      <c r="F5" t="s">
        <v>20</v>
      </c>
      <c r="G5">
        <v>59</v>
      </c>
      <c r="H5">
        <v>53</v>
      </c>
      <c r="I5">
        <v>3.7</v>
      </c>
      <c r="J5">
        <v>5</v>
      </c>
      <c r="K5" t="s">
        <v>28</v>
      </c>
      <c r="L5" t="s">
        <v>26</v>
      </c>
    </row>
    <row r="6" spans="1:12" hidden="1" x14ac:dyDescent="0.25">
      <c r="A6">
        <v>1005</v>
      </c>
      <c r="B6" t="s">
        <v>29</v>
      </c>
      <c r="C6" t="s">
        <v>13</v>
      </c>
      <c r="D6" s="2">
        <v>45778</v>
      </c>
      <c r="E6" t="s">
        <v>27</v>
      </c>
      <c r="F6" t="s">
        <v>30</v>
      </c>
      <c r="G6">
        <v>47</v>
      </c>
      <c r="H6">
        <v>42</v>
      </c>
      <c r="I6">
        <v>7.4</v>
      </c>
      <c r="J6">
        <v>1</v>
      </c>
      <c r="K6" t="s">
        <v>31</v>
      </c>
      <c r="L6" t="s">
        <v>26</v>
      </c>
    </row>
    <row r="7" spans="1:12" hidden="1" x14ac:dyDescent="0.25">
      <c r="A7">
        <v>1006</v>
      </c>
      <c r="B7" t="s">
        <v>32</v>
      </c>
      <c r="C7" t="s">
        <v>24</v>
      </c>
      <c r="D7" s="2">
        <v>45789</v>
      </c>
      <c r="E7" t="s">
        <v>27</v>
      </c>
      <c r="F7" t="s">
        <v>15</v>
      </c>
      <c r="G7">
        <v>40</v>
      </c>
      <c r="H7">
        <v>39</v>
      </c>
      <c r="I7">
        <v>5.4</v>
      </c>
      <c r="J7">
        <v>5</v>
      </c>
      <c r="K7" t="s">
        <v>31</v>
      </c>
      <c r="L7" t="s">
        <v>22</v>
      </c>
    </row>
    <row r="8" spans="1:12" x14ac:dyDescent="0.25">
      <c r="A8">
        <v>1007</v>
      </c>
      <c r="B8" t="s">
        <v>12</v>
      </c>
      <c r="C8" t="s">
        <v>19</v>
      </c>
      <c r="D8" s="2">
        <v>45827</v>
      </c>
      <c r="E8" t="s">
        <v>14</v>
      </c>
      <c r="F8" t="s">
        <v>25</v>
      </c>
      <c r="G8">
        <v>26</v>
      </c>
      <c r="H8">
        <v>23</v>
      </c>
      <c r="I8">
        <v>4.4000000000000004</v>
      </c>
      <c r="J8">
        <v>3</v>
      </c>
      <c r="K8" t="s">
        <v>16</v>
      </c>
      <c r="L8" t="s">
        <v>33</v>
      </c>
    </row>
    <row r="9" spans="1:12" hidden="1" x14ac:dyDescent="0.25">
      <c r="A9">
        <v>1008</v>
      </c>
      <c r="B9" t="s">
        <v>34</v>
      </c>
      <c r="C9" t="s">
        <v>13</v>
      </c>
      <c r="D9" s="2">
        <v>45664</v>
      </c>
      <c r="E9" t="s">
        <v>35</v>
      </c>
      <c r="F9" t="s">
        <v>20</v>
      </c>
      <c r="G9">
        <v>50</v>
      </c>
      <c r="H9">
        <v>45</v>
      </c>
      <c r="I9">
        <v>4.3</v>
      </c>
      <c r="J9">
        <v>4</v>
      </c>
      <c r="K9" t="s">
        <v>21</v>
      </c>
      <c r="L9" t="s">
        <v>26</v>
      </c>
    </row>
    <row r="10" spans="1:12" hidden="1" x14ac:dyDescent="0.25">
      <c r="A10">
        <v>1009</v>
      </c>
      <c r="B10" t="s">
        <v>36</v>
      </c>
      <c r="C10" t="s">
        <v>24</v>
      </c>
      <c r="D10" s="2">
        <v>45726</v>
      </c>
      <c r="E10" t="s">
        <v>27</v>
      </c>
      <c r="F10" t="s">
        <v>30</v>
      </c>
      <c r="G10">
        <v>49</v>
      </c>
      <c r="H10">
        <v>43</v>
      </c>
      <c r="I10">
        <v>5.3</v>
      </c>
      <c r="J10">
        <v>4</v>
      </c>
      <c r="K10" t="s">
        <v>28</v>
      </c>
      <c r="L10" t="s">
        <v>26</v>
      </c>
    </row>
    <row r="11" spans="1:12" hidden="1" x14ac:dyDescent="0.25">
      <c r="A11">
        <v>1010</v>
      </c>
      <c r="B11" t="s">
        <v>36</v>
      </c>
      <c r="C11" t="s">
        <v>19</v>
      </c>
      <c r="D11" s="2">
        <v>45807</v>
      </c>
      <c r="E11" t="s">
        <v>35</v>
      </c>
      <c r="F11" t="s">
        <v>20</v>
      </c>
      <c r="G11">
        <v>27</v>
      </c>
      <c r="H11">
        <v>25</v>
      </c>
      <c r="I11">
        <v>8.1999999999999993</v>
      </c>
      <c r="J11">
        <v>5</v>
      </c>
      <c r="K11" t="s">
        <v>28</v>
      </c>
      <c r="L11" t="s">
        <v>37</v>
      </c>
    </row>
    <row r="12" spans="1:12" x14ac:dyDescent="0.25">
      <c r="A12">
        <v>1011</v>
      </c>
      <c r="B12" t="s">
        <v>23</v>
      </c>
      <c r="C12" t="s">
        <v>13</v>
      </c>
      <c r="D12" s="2">
        <v>45792</v>
      </c>
      <c r="E12" t="s">
        <v>27</v>
      </c>
      <c r="F12" t="s">
        <v>25</v>
      </c>
      <c r="G12">
        <v>46</v>
      </c>
      <c r="H12">
        <v>46</v>
      </c>
      <c r="I12">
        <v>3.6</v>
      </c>
      <c r="J12">
        <v>3</v>
      </c>
      <c r="K12" t="s">
        <v>28</v>
      </c>
      <c r="L12" t="s">
        <v>26</v>
      </c>
    </row>
    <row r="13" spans="1:12" hidden="1" x14ac:dyDescent="0.25">
      <c r="A13">
        <v>1012</v>
      </c>
      <c r="B13" t="s">
        <v>34</v>
      </c>
      <c r="C13" t="s">
        <v>19</v>
      </c>
      <c r="D13" s="2">
        <v>45795</v>
      </c>
      <c r="E13" t="s">
        <v>27</v>
      </c>
      <c r="F13" t="s">
        <v>30</v>
      </c>
      <c r="G13">
        <v>33</v>
      </c>
      <c r="H13">
        <v>31</v>
      </c>
      <c r="I13">
        <v>8.4</v>
      </c>
      <c r="J13">
        <v>2</v>
      </c>
      <c r="K13" t="s">
        <v>21</v>
      </c>
      <c r="L13" t="s">
        <v>26</v>
      </c>
    </row>
    <row r="14" spans="1:12" hidden="1" x14ac:dyDescent="0.25">
      <c r="A14">
        <v>1013</v>
      </c>
      <c r="B14" t="s">
        <v>38</v>
      </c>
      <c r="C14" t="s">
        <v>13</v>
      </c>
      <c r="D14" s="2">
        <v>45661</v>
      </c>
      <c r="E14" t="s">
        <v>35</v>
      </c>
      <c r="F14" t="s">
        <v>20</v>
      </c>
      <c r="G14">
        <v>29</v>
      </c>
      <c r="H14">
        <v>23</v>
      </c>
      <c r="I14">
        <v>6.5</v>
      </c>
      <c r="J14">
        <v>4</v>
      </c>
      <c r="K14" t="s">
        <v>31</v>
      </c>
      <c r="L14" t="s">
        <v>33</v>
      </c>
    </row>
    <row r="15" spans="1:12" hidden="1" x14ac:dyDescent="0.25">
      <c r="A15">
        <v>1014</v>
      </c>
      <c r="B15" t="s">
        <v>36</v>
      </c>
      <c r="C15" t="s">
        <v>19</v>
      </c>
      <c r="D15" s="2">
        <v>45717</v>
      </c>
      <c r="E15" t="s">
        <v>27</v>
      </c>
      <c r="F15" t="s">
        <v>20</v>
      </c>
      <c r="G15">
        <v>48</v>
      </c>
      <c r="H15">
        <v>42</v>
      </c>
      <c r="I15">
        <v>6.1</v>
      </c>
      <c r="J15">
        <v>4</v>
      </c>
      <c r="K15" t="s">
        <v>31</v>
      </c>
      <c r="L15" t="s">
        <v>37</v>
      </c>
    </row>
    <row r="16" spans="1:12" x14ac:dyDescent="0.25">
      <c r="A16">
        <v>1015</v>
      </c>
      <c r="B16" t="s">
        <v>39</v>
      </c>
      <c r="C16" t="s">
        <v>24</v>
      </c>
      <c r="D16" s="2">
        <v>45772</v>
      </c>
      <c r="E16" t="s">
        <v>35</v>
      </c>
      <c r="F16" t="s">
        <v>25</v>
      </c>
      <c r="G16">
        <v>37</v>
      </c>
      <c r="H16">
        <v>34</v>
      </c>
      <c r="I16">
        <v>8.5</v>
      </c>
      <c r="J16">
        <v>2</v>
      </c>
      <c r="K16" t="s">
        <v>16</v>
      </c>
      <c r="L16" t="s">
        <v>22</v>
      </c>
    </row>
    <row r="17" spans="1:12" hidden="1" x14ac:dyDescent="0.25">
      <c r="A17">
        <v>1016</v>
      </c>
      <c r="B17" t="s">
        <v>39</v>
      </c>
      <c r="C17" t="s">
        <v>24</v>
      </c>
      <c r="D17" s="2">
        <v>45823</v>
      </c>
      <c r="E17" t="s">
        <v>14</v>
      </c>
      <c r="F17" t="s">
        <v>15</v>
      </c>
      <c r="G17">
        <v>47</v>
      </c>
      <c r="H17">
        <v>45</v>
      </c>
      <c r="I17">
        <v>9</v>
      </c>
      <c r="J17">
        <v>3</v>
      </c>
      <c r="K17" t="s">
        <v>21</v>
      </c>
      <c r="L17" t="s">
        <v>17</v>
      </c>
    </row>
    <row r="18" spans="1:12" hidden="1" x14ac:dyDescent="0.25">
      <c r="A18">
        <v>1017</v>
      </c>
      <c r="B18" t="s">
        <v>12</v>
      </c>
      <c r="C18" t="s">
        <v>13</v>
      </c>
      <c r="D18" s="2">
        <v>45736</v>
      </c>
      <c r="E18" t="s">
        <v>14</v>
      </c>
      <c r="F18" t="s">
        <v>15</v>
      </c>
      <c r="G18">
        <v>43</v>
      </c>
      <c r="H18">
        <v>38</v>
      </c>
      <c r="I18">
        <v>8.1</v>
      </c>
      <c r="J18">
        <v>5</v>
      </c>
      <c r="K18" t="s">
        <v>16</v>
      </c>
      <c r="L18" t="s">
        <v>33</v>
      </c>
    </row>
    <row r="19" spans="1:12" hidden="1" x14ac:dyDescent="0.25">
      <c r="A19">
        <v>1018</v>
      </c>
      <c r="B19" t="s">
        <v>34</v>
      </c>
      <c r="C19" t="s">
        <v>13</v>
      </c>
      <c r="D19" s="2">
        <v>45783</v>
      </c>
      <c r="E19" t="s">
        <v>35</v>
      </c>
      <c r="F19" t="s">
        <v>15</v>
      </c>
      <c r="G19">
        <v>39</v>
      </c>
      <c r="H19">
        <v>35</v>
      </c>
      <c r="I19">
        <v>7.9</v>
      </c>
      <c r="J19">
        <v>1</v>
      </c>
      <c r="K19" t="s">
        <v>31</v>
      </c>
      <c r="L19" t="s">
        <v>33</v>
      </c>
    </row>
    <row r="20" spans="1:12" hidden="1" x14ac:dyDescent="0.25">
      <c r="A20">
        <v>1019</v>
      </c>
      <c r="B20" t="s">
        <v>23</v>
      </c>
      <c r="C20" t="s">
        <v>13</v>
      </c>
      <c r="D20" s="2">
        <v>45724</v>
      </c>
      <c r="E20" t="s">
        <v>35</v>
      </c>
      <c r="F20" t="s">
        <v>15</v>
      </c>
      <c r="G20">
        <v>47</v>
      </c>
      <c r="H20">
        <v>47</v>
      </c>
      <c r="I20">
        <v>8.6</v>
      </c>
      <c r="J20">
        <v>1</v>
      </c>
      <c r="K20" t="s">
        <v>31</v>
      </c>
      <c r="L20" t="s">
        <v>26</v>
      </c>
    </row>
    <row r="21" spans="1:12" hidden="1" x14ac:dyDescent="0.25">
      <c r="A21">
        <v>1020</v>
      </c>
      <c r="B21" t="s">
        <v>40</v>
      </c>
      <c r="C21" t="s">
        <v>13</v>
      </c>
      <c r="D21" s="2">
        <v>45775</v>
      </c>
      <c r="E21" t="s">
        <v>35</v>
      </c>
      <c r="F21" t="s">
        <v>30</v>
      </c>
      <c r="G21">
        <v>58</v>
      </c>
      <c r="H21">
        <v>56</v>
      </c>
      <c r="I21">
        <v>8.9</v>
      </c>
      <c r="J21">
        <v>5</v>
      </c>
      <c r="K21" t="s">
        <v>16</v>
      </c>
      <c r="L21" t="s">
        <v>26</v>
      </c>
    </row>
    <row r="22" spans="1:12" hidden="1" x14ac:dyDescent="0.25">
      <c r="A22">
        <v>1021</v>
      </c>
      <c r="B22" t="s">
        <v>38</v>
      </c>
      <c r="C22" t="s">
        <v>24</v>
      </c>
      <c r="D22" s="2">
        <v>45688</v>
      </c>
      <c r="E22" t="s">
        <v>14</v>
      </c>
      <c r="F22" t="s">
        <v>15</v>
      </c>
      <c r="G22">
        <v>54</v>
      </c>
      <c r="H22">
        <v>52</v>
      </c>
      <c r="I22">
        <v>5.7</v>
      </c>
      <c r="J22">
        <v>1</v>
      </c>
      <c r="K22" t="s">
        <v>21</v>
      </c>
      <c r="L22" t="s">
        <v>22</v>
      </c>
    </row>
    <row r="23" spans="1:12" hidden="1" x14ac:dyDescent="0.25">
      <c r="A23">
        <v>1022</v>
      </c>
      <c r="B23" t="s">
        <v>12</v>
      </c>
      <c r="C23" t="s">
        <v>19</v>
      </c>
      <c r="D23" s="2">
        <v>45797</v>
      </c>
      <c r="E23" t="s">
        <v>27</v>
      </c>
      <c r="F23" t="s">
        <v>20</v>
      </c>
      <c r="G23">
        <v>28</v>
      </c>
      <c r="H23">
        <v>24</v>
      </c>
      <c r="I23">
        <v>10</v>
      </c>
      <c r="J23">
        <v>5</v>
      </c>
      <c r="K23" t="s">
        <v>28</v>
      </c>
      <c r="L23" t="s">
        <v>17</v>
      </c>
    </row>
    <row r="24" spans="1:12" hidden="1" x14ac:dyDescent="0.25">
      <c r="A24">
        <v>1023</v>
      </c>
      <c r="B24" t="s">
        <v>23</v>
      </c>
      <c r="C24" t="s">
        <v>13</v>
      </c>
      <c r="D24" s="2">
        <v>45755</v>
      </c>
      <c r="E24" t="s">
        <v>14</v>
      </c>
      <c r="F24" t="s">
        <v>30</v>
      </c>
      <c r="G24">
        <v>38</v>
      </c>
      <c r="H24">
        <v>33</v>
      </c>
      <c r="I24">
        <v>4.7</v>
      </c>
      <c r="J24">
        <v>5</v>
      </c>
      <c r="K24" t="s">
        <v>16</v>
      </c>
      <c r="L24" t="s">
        <v>26</v>
      </c>
    </row>
    <row r="25" spans="1:12" x14ac:dyDescent="0.25">
      <c r="A25">
        <v>1024</v>
      </c>
      <c r="B25" t="s">
        <v>38</v>
      </c>
      <c r="C25" t="s">
        <v>13</v>
      </c>
      <c r="D25" s="2">
        <v>45748</v>
      </c>
      <c r="E25" t="s">
        <v>35</v>
      </c>
      <c r="F25" t="s">
        <v>25</v>
      </c>
      <c r="G25">
        <v>39</v>
      </c>
      <c r="H25">
        <v>33</v>
      </c>
      <c r="I25">
        <v>6.7</v>
      </c>
      <c r="J25">
        <v>4</v>
      </c>
      <c r="K25" t="s">
        <v>28</v>
      </c>
      <c r="L25" t="s">
        <v>37</v>
      </c>
    </row>
    <row r="26" spans="1:12" hidden="1" x14ac:dyDescent="0.25">
      <c r="A26">
        <v>1025</v>
      </c>
      <c r="B26" t="s">
        <v>23</v>
      </c>
      <c r="C26" t="s">
        <v>19</v>
      </c>
      <c r="D26" s="2">
        <v>45715</v>
      </c>
      <c r="E26" t="s">
        <v>27</v>
      </c>
      <c r="F26" t="s">
        <v>15</v>
      </c>
      <c r="G26">
        <v>32</v>
      </c>
      <c r="H26">
        <v>31</v>
      </c>
      <c r="I26">
        <v>7.3</v>
      </c>
      <c r="J26">
        <v>4</v>
      </c>
      <c r="K26" t="s">
        <v>31</v>
      </c>
      <c r="L26" t="s">
        <v>22</v>
      </c>
    </row>
    <row r="27" spans="1:12" hidden="1" x14ac:dyDescent="0.25">
      <c r="A27">
        <v>1026</v>
      </c>
      <c r="B27" t="s">
        <v>23</v>
      </c>
      <c r="C27" t="s">
        <v>24</v>
      </c>
      <c r="D27" s="2">
        <v>45764</v>
      </c>
      <c r="E27" t="s">
        <v>35</v>
      </c>
      <c r="F27" t="s">
        <v>15</v>
      </c>
      <c r="G27">
        <v>50</v>
      </c>
      <c r="H27">
        <v>48</v>
      </c>
      <c r="I27">
        <v>7.5</v>
      </c>
      <c r="J27">
        <v>5</v>
      </c>
      <c r="K27" t="s">
        <v>16</v>
      </c>
      <c r="L27" t="s">
        <v>17</v>
      </c>
    </row>
    <row r="28" spans="1:12" x14ac:dyDescent="0.25">
      <c r="A28">
        <v>1027</v>
      </c>
      <c r="B28" t="s">
        <v>18</v>
      </c>
      <c r="C28" t="s">
        <v>24</v>
      </c>
      <c r="D28" s="2">
        <v>45706</v>
      </c>
      <c r="E28" t="s">
        <v>35</v>
      </c>
      <c r="F28" t="s">
        <v>25</v>
      </c>
      <c r="G28">
        <v>37</v>
      </c>
      <c r="H28">
        <v>33</v>
      </c>
      <c r="I28">
        <v>9.3000000000000007</v>
      </c>
      <c r="J28">
        <v>5</v>
      </c>
      <c r="K28" t="s">
        <v>28</v>
      </c>
      <c r="L28" t="s">
        <v>22</v>
      </c>
    </row>
    <row r="29" spans="1:12" x14ac:dyDescent="0.25">
      <c r="A29">
        <v>1028</v>
      </c>
      <c r="B29" t="s">
        <v>32</v>
      </c>
      <c r="C29" t="s">
        <v>13</v>
      </c>
      <c r="D29" s="2">
        <v>45802</v>
      </c>
      <c r="E29" t="s">
        <v>27</v>
      </c>
      <c r="F29" t="s">
        <v>25</v>
      </c>
      <c r="G29">
        <v>49</v>
      </c>
      <c r="H29">
        <v>44</v>
      </c>
      <c r="I29">
        <v>4</v>
      </c>
      <c r="J29">
        <v>2</v>
      </c>
      <c r="K29" t="s">
        <v>21</v>
      </c>
      <c r="L29" t="s">
        <v>37</v>
      </c>
    </row>
    <row r="30" spans="1:12" hidden="1" x14ac:dyDescent="0.25">
      <c r="A30">
        <v>1029</v>
      </c>
      <c r="B30" t="s">
        <v>36</v>
      </c>
      <c r="C30" t="s">
        <v>19</v>
      </c>
      <c r="D30" s="2">
        <v>45724</v>
      </c>
      <c r="E30" t="s">
        <v>35</v>
      </c>
      <c r="F30" t="s">
        <v>20</v>
      </c>
      <c r="G30">
        <v>47</v>
      </c>
      <c r="H30">
        <v>44</v>
      </c>
      <c r="I30">
        <v>3.7</v>
      </c>
      <c r="J30">
        <v>4</v>
      </c>
      <c r="K30" t="s">
        <v>28</v>
      </c>
      <c r="L30" t="s">
        <v>22</v>
      </c>
    </row>
    <row r="31" spans="1:12" x14ac:dyDescent="0.25">
      <c r="A31">
        <v>1030</v>
      </c>
      <c r="B31" t="s">
        <v>23</v>
      </c>
      <c r="C31" t="s">
        <v>24</v>
      </c>
      <c r="D31" s="2">
        <v>45665</v>
      </c>
      <c r="E31" t="s">
        <v>14</v>
      </c>
      <c r="F31" t="s">
        <v>25</v>
      </c>
      <c r="G31">
        <v>27</v>
      </c>
      <c r="H31">
        <v>26</v>
      </c>
      <c r="I31">
        <v>6.7</v>
      </c>
      <c r="J31">
        <v>5</v>
      </c>
      <c r="K31" t="s">
        <v>31</v>
      </c>
      <c r="L31" t="s">
        <v>26</v>
      </c>
    </row>
    <row r="32" spans="1:12" hidden="1" x14ac:dyDescent="0.25">
      <c r="A32">
        <v>1031</v>
      </c>
      <c r="B32" t="s">
        <v>12</v>
      </c>
      <c r="C32" t="s">
        <v>13</v>
      </c>
      <c r="D32" s="2">
        <v>45683</v>
      </c>
      <c r="E32" t="s">
        <v>14</v>
      </c>
      <c r="F32" t="s">
        <v>30</v>
      </c>
      <c r="G32">
        <v>38</v>
      </c>
      <c r="H32">
        <v>34</v>
      </c>
      <c r="I32">
        <v>9.6</v>
      </c>
      <c r="J32">
        <v>1</v>
      </c>
      <c r="K32" t="s">
        <v>21</v>
      </c>
      <c r="L32" t="s">
        <v>26</v>
      </c>
    </row>
    <row r="33" spans="1:12" x14ac:dyDescent="0.25">
      <c r="A33">
        <v>1032</v>
      </c>
      <c r="B33" t="s">
        <v>23</v>
      </c>
      <c r="C33" t="s">
        <v>19</v>
      </c>
      <c r="D33" s="2">
        <v>45833</v>
      </c>
      <c r="E33" t="s">
        <v>27</v>
      </c>
      <c r="F33" t="s">
        <v>25</v>
      </c>
      <c r="G33">
        <v>50</v>
      </c>
      <c r="H33">
        <v>47</v>
      </c>
      <c r="I33">
        <v>4.3</v>
      </c>
      <c r="J33">
        <v>2</v>
      </c>
      <c r="K33" t="s">
        <v>31</v>
      </c>
      <c r="L33" t="s">
        <v>26</v>
      </c>
    </row>
    <row r="34" spans="1:12" hidden="1" x14ac:dyDescent="0.25">
      <c r="A34">
        <v>1033</v>
      </c>
      <c r="B34" t="s">
        <v>29</v>
      </c>
      <c r="C34" t="s">
        <v>13</v>
      </c>
      <c r="D34" s="2">
        <v>45734</v>
      </c>
      <c r="E34" t="s">
        <v>35</v>
      </c>
      <c r="F34" t="s">
        <v>15</v>
      </c>
      <c r="G34">
        <v>29</v>
      </c>
      <c r="H34">
        <v>25</v>
      </c>
      <c r="I34">
        <v>5.7</v>
      </c>
      <c r="J34">
        <v>1</v>
      </c>
      <c r="K34" t="s">
        <v>28</v>
      </c>
      <c r="L34" t="s">
        <v>37</v>
      </c>
    </row>
    <row r="35" spans="1:12" hidden="1" x14ac:dyDescent="0.25">
      <c r="A35">
        <v>1034</v>
      </c>
      <c r="B35" t="s">
        <v>36</v>
      </c>
      <c r="C35" t="s">
        <v>19</v>
      </c>
      <c r="D35" s="2">
        <v>45730</v>
      </c>
      <c r="E35" t="s">
        <v>35</v>
      </c>
      <c r="F35" t="s">
        <v>20</v>
      </c>
      <c r="G35">
        <v>55</v>
      </c>
      <c r="H35">
        <v>49</v>
      </c>
      <c r="I35">
        <v>4.3</v>
      </c>
      <c r="J35">
        <v>3</v>
      </c>
      <c r="K35" t="s">
        <v>28</v>
      </c>
      <c r="L35" t="s">
        <v>37</v>
      </c>
    </row>
    <row r="36" spans="1:12" hidden="1" x14ac:dyDescent="0.25">
      <c r="A36">
        <v>1035</v>
      </c>
      <c r="B36" t="s">
        <v>39</v>
      </c>
      <c r="C36" t="s">
        <v>24</v>
      </c>
      <c r="D36" s="2">
        <v>45690</v>
      </c>
      <c r="E36" t="s">
        <v>14</v>
      </c>
      <c r="F36" t="s">
        <v>20</v>
      </c>
      <c r="G36">
        <v>25</v>
      </c>
      <c r="H36">
        <v>19</v>
      </c>
      <c r="I36">
        <v>9.1</v>
      </c>
      <c r="J36">
        <v>2</v>
      </c>
      <c r="K36" t="s">
        <v>31</v>
      </c>
      <c r="L36" t="s">
        <v>37</v>
      </c>
    </row>
    <row r="37" spans="1:12" hidden="1" x14ac:dyDescent="0.25">
      <c r="A37">
        <v>1036</v>
      </c>
      <c r="B37" t="s">
        <v>32</v>
      </c>
      <c r="C37" t="s">
        <v>13</v>
      </c>
      <c r="D37" s="2">
        <v>45730</v>
      </c>
      <c r="E37" t="s">
        <v>35</v>
      </c>
      <c r="F37" t="s">
        <v>15</v>
      </c>
      <c r="G37">
        <v>47</v>
      </c>
      <c r="H37">
        <v>42</v>
      </c>
      <c r="I37">
        <v>5.7</v>
      </c>
      <c r="J37">
        <v>5</v>
      </c>
      <c r="K37" t="s">
        <v>21</v>
      </c>
      <c r="L37" t="s">
        <v>17</v>
      </c>
    </row>
    <row r="38" spans="1:12" hidden="1" x14ac:dyDescent="0.25">
      <c r="A38">
        <v>1037</v>
      </c>
      <c r="B38" t="s">
        <v>34</v>
      </c>
      <c r="C38" t="s">
        <v>24</v>
      </c>
      <c r="D38" s="2">
        <v>45791</v>
      </c>
      <c r="E38" t="s">
        <v>35</v>
      </c>
      <c r="F38" t="s">
        <v>20</v>
      </c>
      <c r="G38">
        <v>42</v>
      </c>
      <c r="H38">
        <v>42</v>
      </c>
      <c r="I38">
        <v>7.8</v>
      </c>
      <c r="J38">
        <v>5</v>
      </c>
      <c r="K38" t="s">
        <v>28</v>
      </c>
      <c r="L38" t="s">
        <v>37</v>
      </c>
    </row>
    <row r="39" spans="1:12" hidden="1" x14ac:dyDescent="0.25">
      <c r="A39">
        <v>1038</v>
      </c>
      <c r="B39" t="s">
        <v>38</v>
      </c>
      <c r="C39" t="s">
        <v>13</v>
      </c>
      <c r="D39" s="2">
        <v>45764</v>
      </c>
      <c r="E39" t="s">
        <v>27</v>
      </c>
      <c r="F39" t="s">
        <v>15</v>
      </c>
      <c r="G39">
        <v>26</v>
      </c>
      <c r="H39">
        <v>23</v>
      </c>
      <c r="I39">
        <v>7.5</v>
      </c>
      <c r="J39">
        <v>4</v>
      </c>
      <c r="K39" t="s">
        <v>16</v>
      </c>
      <c r="L39" t="s">
        <v>22</v>
      </c>
    </row>
    <row r="40" spans="1:12" hidden="1" x14ac:dyDescent="0.25">
      <c r="A40">
        <v>1039</v>
      </c>
      <c r="B40" t="s">
        <v>34</v>
      </c>
      <c r="C40" t="s">
        <v>19</v>
      </c>
      <c r="D40" s="2">
        <v>45798</v>
      </c>
      <c r="E40" t="s">
        <v>14</v>
      </c>
      <c r="F40" t="s">
        <v>20</v>
      </c>
      <c r="G40">
        <v>29</v>
      </c>
      <c r="H40">
        <v>24</v>
      </c>
      <c r="I40">
        <v>8.6999999999999993</v>
      </c>
      <c r="J40">
        <v>3</v>
      </c>
      <c r="K40" t="s">
        <v>31</v>
      </c>
      <c r="L40" t="s">
        <v>37</v>
      </c>
    </row>
    <row r="41" spans="1:12" hidden="1" x14ac:dyDescent="0.25">
      <c r="A41">
        <v>1040</v>
      </c>
      <c r="B41" t="s">
        <v>34</v>
      </c>
      <c r="C41" t="s">
        <v>19</v>
      </c>
      <c r="D41" s="2">
        <v>45683</v>
      </c>
      <c r="E41" t="s">
        <v>35</v>
      </c>
      <c r="F41" t="s">
        <v>20</v>
      </c>
      <c r="G41">
        <v>53</v>
      </c>
      <c r="H41">
        <v>48</v>
      </c>
      <c r="I41">
        <v>6.2</v>
      </c>
      <c r="J41">
        <v>5</v>
      </c>
      <c r="K41" t="s">
        <v>28</v>
      </c>
      <c r="L41" t="s">
        <v>17</v>
      </c>
    </row>
    <row r="42" spans="1:12" hidden="1" x14ac:dyDescent="0.25">
      <c r="A42">
        <v>1041</v>
      </c>
      <c r="B42" t="s">
        <v>38</v>
      </c>
      <c r="C42" t="s">
        <v>13</v>
      </c>
      <c r="D42" s="2">
        <v>45822</v>
      </c>
      <c r="E42" t="s">
        <v>35</v>
      </c>
      <c r="F42" t="s">
        <v>15</v>
      </c>
      <c r="G42">
        <v>32</v>
      </c>
      <c r="H42">
        <v>32</v>
      </c>
      <c r="I42">
        <v>8.1</v>
      </c>
      <c r="J42">
        <v>4</v>
      </c>
      <c r="K42" t="s">
        <v>16</v>
      </c>
      <c r="L42" t="s">
        <v>17</v>
      </c>
    </row>
    <row r="43" spans="1:12" x14ac:dyDescent="0.25">
      <c r="A43">
        <v>1042</v>
      </c>
      <c r="B43" t="s">
        <v>23</v>
      </c>
      <c r="C43" t="s">
        <v>24</v>
      </c>
      <c r="D43" s="2">
        <v>45690</v>
      </c>
      <c r="E43" t="s">
        <v>14</v>
      </c>
      <c r="F43" t="s">
        <v>25</v>
      </c>
      <c r="G43">
        <v>46</v>
      </c>
      <c r="H43">
        <v>40</v>
      </c>
      <c r="I43">
        <v>4.7</v>
      </c>
      <c r="J43">
        <v>2</v>
      </c>
      <c r="K43" t="s">
        <v>16</v>
      </c>
      <c r="L43" t="s">
        <v>37</v>
      </c>
    </row>
    <row r="44" spans="1:12" hidden="1" x14ac:dyDescent="0.25">
      <c r="A44">
        <v>1043</v>
      </c>
      <c r="B44" t="s">
        <v>36</v>
      </c>
      <c r="C44" t="s">
        <v>13</v>
      </c>
      <c r="D44" s="2">
        <v>45715</v>
      </c>
      <c r="E44" t="s">
        <v>27</v>
      </c>
      <c r="F44" t="s">
        <v>15</v>
      </c>
      <c r="G44">
        <v>45</v>
      </c>
      <c r="H44">
        <v>39</v>
      </c>
      <c r="I44">
        <v>5.6</v>
      </c>
      <c r="J44">
        <v>2</v>
      </c>
      <c r="K44" t="s">
        <v>16</v>
      </c>
      <c r="L44" t="s">
        <v>37</v>
      </c>
    </row>
    <row r="45" spans="1:12" x14ac:dyDescent="0.25">
      <c r="A45">
        <v>1044</v>
      </c>
      <c r="B45" t="s">
        <v>39</v>
      </c>
      <c r="C45" t="s">
        <v>13</v>
      </c>
      <c r="D45" s="2">
        <v>45692</v>
      </c>
      <c r="E45" t="s">
        <v>14</v>
      </c>
      <c r="F45" t="s">
        <v>25</v>
      </c>
      <c r="G45">
        <v>39</v>
      </c>
      <c r="H45">
        <v>39</v>
      </c>
      <c r="I45">
        <v>5.8</v>
      </c>
      <c r="J45">
        <v>2</v>
      </c>
      <c r="K45" t="s">
        <v>31</v>
      </c>
      <c r="L45" t="s">
        <v>33</v>
      </c>
    </row>
    <row r="46" spans="1:12" x14ac:dyDescent="0.25">
      <c r="A46">
        <v>1045</v>
      </c>
      <c r="B46" t="s">
        <v>38</v>
      </c>
      <c r="C46" t="s">
        <v>24</v>
      </c>
      <c r="D46" s="2">
        <v>45784</v>
      </c>
      <c r="E46" t="s">
        <v>27</v>
      </c>
      <c r="F46" t="s">
        <v>25</v>
      </c>
      <c r="G46">
        <v>36</v>
      </c>
      <c r="H46">
        <v>34</v>
      </c>
      <c r="I46">
        <v>7.6</v>
      </c>
      <c r="J46">
        <v>4</v>
      </c>
      <c r="K46" t="s">
        <v>28</v>
      </c>
      <c r="L46" t="s">
        <v>33</v>
      </c>
    </row>
    <row r="47" spans="1:12" hidden="1" x14ac:dyDescent="0.25">
      <c r="A47">
        <v>1046</v>
      </c>
      <c r="B47" t="s">
        <v>38</v>
      </c>
      <c r="C47" t="s">
        <v>24</v>
      </c>
      <c r="D47" s="2">
        <v>45738</v>
      </c>
      <c r="E47" t="s">
        <v>14</v>
      </c>
      <c r="F47" t="s">
        <v>30</v>
      </c>
      <c r="G47">
        <v>44</v>
      </c>
      <c r="H47">
        <v>41</v>
      </c>
      <c r="I47">
        <v>6.3</v>
      </c>
      <c r="J47">
        <v>4</v>
      </c>
      <c r="K47" t="s">
        <v>31</v>
      </c>
      <c r="L47" t="s">
        <v>26</v>
      </c>
    </row>
    <row r="48" spans="1:12" x14ac:dyDescent="0.25">
      <c r="A48">
        <v>1047</v>
      </c>
      <c r="B48" t="s">
        <v>40</v>
      </c>
      <c r="C48" t="s">
        <v>24</v>
      </c>
      <c r="D48" s="2">
        <v>45816</v>
      </c>
      <c r="E48" t="s">
        <v>14</v>
      </c>
      <c r="F48" t="s">
        <v>25</v>
      </c>
      <c r="G48">
        <v>28</v>
      </c>
      <c r="H48">
        <v>25</v>
      </c>
      <c r="I48">
        <v>5</v>
      </c>
      <c r="J48">
        <v>3</v>
      </c>
      <c r="K48" t="s">
        <v>31</v>
      </c>
      <c r="L48" t="s">
        <v>33</v>
      </c>
    </row>
    <row r="49" spans="1:12" hidden="1" x14ac:dyDescent="0.25">
      <c r="A49">
        <v>1048</v>
      </c>
      <c r="B49" t="s">
        <v>29</v>
      </c>
      <c r="C49" t="s">
        <v>19</v>
      </c>
      <c r="D49" s="2">
        <v>45750</v>
      </c>
      <c r="E49" t="s">
        <v>27</v>
      </c>
      <c r="F49" t="s">
        <v>20</v>
      </c>
      <c r="G49">
        <v>60</v>
      </c>
      <c r="H49">
        <v>57</v>
      </c>
      <c r="I49">
        <v>9.6999999999999993</v>
      </c>
      <c r="J49">
        <v>3</v>
      </c>
      <c r="K49" t="s">
        <v>16</v>
      </c>
      <c r="L49" t="s">
        <v>22</v>
      </c>
    </row>
    <row r="50" spans="1:12" hidden="1" x14ac:dyDescent="0.25">
      <c r="A50">
        <v>1049</v>
      </c>
      <c r="B50" t="s">
        <v>18</v>
      </c>
      <c r="C50" t="s">
        <v>13</v>
      </c>
      <c r="D50" s="2">
        <v>45822</v>
      </c>
      <c r="E50" t="s">
        <v>14</v>
      </c>
      <c r="F50" t="s">
        <v>20</v>
      </c>
      <c r="G50">
        <v>35</v>
      </c>
      <c r="H50">
        <v>32</v>
      </c>
      <c r="I50">
        <v>9.5</v>
      </c>
      <c r="J50">
        <v>2</v>
      </c>
      <c r="K50" t="s">
        <v>28</v>
      </c>
      <c r="L50" t="s">
        <v>26</v>
      </c>
    </row>
    <row r="51" spans="1:12" hidden="1" x14ac:dyDescent="0.25">
      <c r="A51">
        <v>1050</v>
      </c>
      <c r="B51" t="s">
        <v>34</v>
      </c>
      <c r="C51" t="s">
        <v>19</v>
      </c>
      <c r="D51" s="2">
        <v>45666</v>
      </c>
      <c r="E51" t="s">
        <v>35</v>
      </c>
      <c r="F51" t="s">
        <v>15</v>
      </c>
      <c r="G51">
        <v>30</v>
      </c>
      <c r="H51">
        <v>28</v>
      </c>
      <c r="I51">
        <v>7.3</v>
      </c>
      <c r="J51">
        <v>5</v>
      </c>
      <c r="K51" t="s">
        <v>31</v>
      </c>
      <c r="L51" t="s">
        <v>37</v>
      </c>
    </row>
    <row r="52" spans="1:12" hidden="1" x14ac:dyDescent="0.25">
      <c r="A52">
        <v>1051</v>
      </c>
      <c r="B52" t="s">
        <v>38</v>
      </c>
      <c r="C52" t="s">
        <v>19</v>
      </c>
      <c r="D52" s="2">
        <v>45819</v>
      </c>
      <c r="E52" t="s">
        <v>35</v>
      </c>
      <c r="F52" t="s">
        <v>30</v>
      </c>
      <c r="G52">
        <v>50</v>
      </c>
      <c r="H52">
        <v>44</v>
      </c>
      <c r="I52">
        <v>7</v>
      </c>
      <c r="J52">
        <v>2</v>
      </c>
      <c r="K52" t="s">
        <v>28</v>
      </c>
      <c r="L52" t="s">
        <v>37</v>
      </c>
    </row>
    <row r="53" spans="1:12" x14ac:dyDescent="0.25">
      <c r="A53">
        <v>1052</v>
      </c>
      <c r="B53" t="s">
        <v>29</v>
      </c>
      <c r="C53" t="s">
        <v>19</v>
      </c>
      <c r="D53" s="2">
        <v>45667</v>
      </c>
      <c r="E53" t="s">
        <v>35</v>
      </c>
      <c r="F53" t="s">
        <v>25</v>
      </c>
      <c r="G53">
        <v>26</v>
      </c>
      <c r="H53">
        <v>25</v>
      </c>
      <c r="I53">
        <v>3.9</v>
      </c>
      <c r="J53">
        <v>2</v>
      </c>
      <c r="K53" t="s">
        <v>21</v>
      </c>
      <c r="L53" t="s">
        <v>37</v>
      </c>
    </row>
    <row r="54" spans="1:12" hidden="1" x14ac:dyDescent="0.25">
      <c r="A54">
        <v>1053</v>
      </c>
      <c r="B54" t="s">
        <v>12</v>
      </c>
      <c r="C54" t="s">
        <v>24</v>
      </c>
      <c r="D54" s="2">
        <v>45681</v>
      </c>
      <c r="E54" t="s">
        <v>14</v>
      </c>
      <c r="F54" t="s">
        <v>15</v>
      </c>
      <c r="G54">
        <v>46</v>
      </c>
      <c r="H54">
        <v>44</v>
      </c>
      <c r="I54">
        <v>5.2</v>
      </c>
      <c r="J54">
        <v>4</v>
      </c>
      <c r="K54" t="s">
        <v>31</v>
      </c>
      <c r="L54" t="s">
        <v>37</v>
      </c>
    </row>
    <row r="55" spans="1:12" hidden="1" x14ac:dyDescent="0.25">
      <c r="A55">
        <v>1054</v>
      </c>
      <c r="B55" t="s">
        <v>29</v>
      </c>
      <c r="C55" t="s">
        <v>13</v>
      </c>
      <c r="D55" s="2">
        <v>45809</v>
      </c>
      <c r="E55" t="s">
        <v>27</v>
      </c>
      <c r="F55" t="s">
        <v>15</v>
      </c>
      <c r="G55">
        <v>30</v>
      </c>
      <c r="H55">
        <v>29</v>
      </c>
      <c r="I55">
        <v>9.1999999999999993</v>
      </c>
      <c r="J55">
        <v>1</v>
      </c>
      <c r="K55" t="s">
        <v>16</v>
      </c>
      <c r="L55" t="s">
        <v>33</v>
      </c>
    </row>
    <row r="56" spans="1:12" hidden="1" x14ac:dyDescent="0.25">
      <c r="A56">
        <v>1055</v>
      </c>
      <c r="B56" t="s">
        <v>12</v>
      </c>
      <c r="C56" t="s">
        <v>13</v>
      </c>
      <c r="D56" s="2">
        <v>45803</v>
      </c>
      <c r="E56" t="s">
        <v>35</v>
      </c>
      <c r="F56" t="s">
        <v>15</v>
      </c>
      <c r="G56">
        <v>32</v>
      </c>
      <c r="H56">
        <v>29</v>
      </c>
      <c r="I56">
        <v>5.7</v>
      </c>
      <c r="J56">
        <v>1</v>
      </c>
      <c r="K56" t="s">
        <v>28</v>
      </c>
      <c r="L56" t="s">
        <v>26</v>
      </c>
    </row>
    <row r="57" spans="1:12" hidden="1" x14ac:dyDescent="0.25">
      <c r="A57">
        <v>1056</v>
      </c>
      <c r="B57" t="s">
        <v>34</v>
      </c>
      <c r="C57" t="s">
        <v>19</v>
      </c>
      <c r="D57" s="2">
        <v>45769</v>
      </c>
      <c r="E57" t="s">
        <v>14</v>
      </c>
      <c r="F57" t="s">
        <v>15</v>
      </c>
      <c r="G57">
        <v>49</v>
      </c>
      <c r="H57">
        <v>43</v>
      </c>
      <c r="I57">
        <v>8.6999999999999993</v>
      </c>
      <c r="J57">
        <v>1</v>
      </c>
      <c r="K57" t="s">
        <v>31</v>
      </c>
      <c r="L57" t="s">
        <v>17</v>
      </c>
    </row>
    <row r="58" spans="1:12" hidden="1" x14ac:dyDescent="0.25">
      <c r="A58">
        <v>1057</v>
      </c>
      <c r="B58" t="s">
        <v>36</v>
      </c>
      <c r="C58" t="s">
        <v>24</v>
      </c>
      <c r="D58" s="2">
        <v>45707</v>
      </c>
      <c r="E58" t="s">
        <v>27</v>
      </c>
      <c r="F58" t="s">
        <v>15</v>
      </c>
      <c r="G58">
        <v>35</v>
      </c>
      <c r="H58">
        <v>34</v>
      </c>
      <c r="I58">
        <v>3.9</v>
      </c>
      <c r="J58">
        <v>3</v>
      </c>
      <c r="K58" t="s">
        <v>28</v>
      </c>
      <c r="L58" t="s">
        <v>22</v>
      </c>
    </row>
    <row r="59" spans="1:12" hidden="1" x14ac:dyDescent="0.25">
      <c r="A59">
        <v>1058</v>
      </c>
      <c r="B59" t="s">
        <v>29</v>
      </c>
      <c r="C59" t="s">
        <v>19</v>
      </c>
      <c r="D59" s="2">
        <v>45727</v>
      </c>
      <c r="E59" t="s">
        <v>14</v>
      </c>
      <c r="F59" t="s">
        <v>20</v>
      </c>
      <c r="G59">
        <v>30</v>
      </c>
      <c r="H59">
        <v>29</v>
      </c>
      <c r="I59">
        <v>4.0999999999999996</v>
      </c>
      <c r="J59">
        <v>5</v>
      </c>
      <c r="K59" t="s">
        <v>21</v>
      </c>
      <c r="L59" t="s">
        <v>37</v>
      </c>
    </row>
    <row r="60" spans="1:12" x14ac:dyDescent="0.25">
      <c r="A60">
        <v>1059</v>
      </c>
      <c r="B60" t="s">
        <v>40</v>
      </c>
      <c r="C60" t="s">
        <v>13</v>
      </c>
      <c r="D60" s="2">
        <v>45771</v>
      </c>
      <c r="E60" t="s">
        <v>14</v>
      </c>
      <c r="F60" t="s">
        <v>25</v>
      </c>
      <c r="G60">
        <v>51</v>
      </c>
      <c r="H60">
        <v>46</v>
      </c>
      <c r="I60">
        <v>9</v>
      </c>
      <c r="J60">
        <v>1</v>
      </c>
      <c r="K60" t="s">
        <v>31</v>
      </c>
      <c r="L60" t="s">
        <v>33</v>
      </c>
    </row>
    <row r="61" spans="1:12" hidden="1" x14ac:dyDescent="0.25">
      <c r="A61">
        <v>1060</v>
      </c>
      <c r="B61" t="s">
        <v>34</v>
      </c>
      <c r="C61" t="s">
        <v>24</v>
      </c>
      <c r="D61" s="2">
        <v>45662</v>
      </c>
      <c r="E61" t="s">
        <v>14</v>
      </c>
      <c r="F61" t="s">
        <v>20</v>
      </c>
      <c r="G61">
        <v>40</v>
      </c>
      <c r="H61">
        <v>36</v>
      </c>
      <c r="I61">
        <v>6.2</v>
      </c>
      <c r="J61">
        <v>3</v>
      </c>
      <c r="K61" t="s">
        <v>16</v>
      </c>
      <c r="L61" t="s">
        <v>17</v>
      </c>
    </row>
    <row r="62" spans="1:12" hidden="1" x14ac:dyDescent="0.25">
      <c r="A62">
        <v>1061</v>
      </c>
      <c r="B62" t="s">
        <v>29</v>
      </c>
      <c r="C62" t="s">
        <v>13</v>
      </c>
      <c r="D62" s="2">
        <v>45806</v>
      </c>
      <c r="E62" t="s">
        <v>14</v>
      </c>
      <c r="F62" t="s">
        <v>15</v>
      </c>
      <c r="G62">
        <v>59</v>
      </c>
      <c r="H62">
        <v>55</v>
      </c>
      <c r="I62">
        <v>7.2</v>
      </c>
      <c r="J62">
        <v>3</v>
      </c>
      <c r="K62" t="s">
        <v>31</v>
      </c>
      <c r="L62" t="s">
        <v>26</v>
      </c>
    </row>
    <row r="63" spans="1:12" hidden="1" x14ac:dyDescent="0.25">
      <c r="A63">
        <v>1062</v>
      </c>
      <c r="B63" t="s">
        <v>34</v>
      </c>
      <c r="C63" t="s">
        <v>24</v>
      </c>
      <c r="D63" s="2">
        <v>45779</v>
      </c>
      <c r="E63" t="s">
        <v>35</v>
      </c>
      <c r="F63" t="s">
        <v>15</v>
      </c>
      <c r="G63">
        <v>46</v>
      </c>
      <c r="H63">
        <v>40</v>
      </c>
      <c r="I63">
        <v>6.5</v>
      </c>
      <c r="J63">
        <v>1</v>
      </c>
      <c r="K63" t="s">
        <v>21</v>
      </c>
      <c r="L63" t="s">
        <v>22</v>
      </c>
    </row>
    <row r="64" spans="1:12" hidden="1" x14ac:dyDescent="0.25">
      <c r="A64">
        <v>1063</v>
      </c>
      <c r="B64" t="s">
        <v>29</v>
      </c>
      <c r="C64" t="s">
        <v>24</v>
      </c>
      <c r="D64" s="2">
        <v>45810</v>
      </c>
      <c r="E64" t="s">
        <v>27</v>
      </c>
      <c r="F64" t="s">
        <v>20</v>
      </c>
      <c r="G64">
        <v>58</v>
      </c>
      <c r="H64">
        <v>52</v>
      </c>
      <c r="I64">
        <v>7.6</v>
      </c>
      <c r="J64">
        <v>3</v>
      </c>
      <c r="K64" t="s">
        <v>21</v>
      </c>
      <c r="L64" t="s">
        <v>37</v>
      </c>
    </row>
    <row r="65" spans="1:12" hidden="1" x14ac:dyDescent="0.25">
      <c r="A65">
        <v>1064</v>
      </c>
      <c r="B65" t="s">
        <v>12</v>
      </c>
      <c r="C65" t="s">
        <v>13</v>
      </c>
      <c r="D65" s="2">
        <v>45719</v>
      </c>
      <c r="E65" t="s">
        <v>27</v>
      </c>
      <c r="F65" t="s">
        <v>15</v>
      </c>
      <c r="G65">
        <v>27</v>
      </c>
      <c r="H65">
        <v>26</v>
      </c>
      <c r="I65">
        <v>4.5999999999999996</v>
      </c>
      <c r="J65">
        <v>4</v>
      </c>
      <c r="K65" t="s">
        <v>31</v>
      </c>
      <c r="L65" t="s">
        <v>17</v>
      </c>
    </row>
    <row r="66" spans="1:12" x14ac:dyDescent="0.25">
      <c r="A66">
        <v>1065</v>
      </c>
      <c r="B66" t="s">
        <v>36</v>
      </c>
      <c r="C66" t="s">
        <v>24</v>
      </c>
      <c r="D66" s="2">
        <v>45823</v>
      </c>
      <c r="E66" t="s">
        <v>35</v>
      </c>
      <c r="F66" t="s">
        <v>25</v>
      </c>
      <c r="G66">
        <v>33</v>
      </c>
      <c r="H66">
        <v>29</v>
      </c>
      <c r="I66">
        <v>8.1</v>
      </c>
      <c r="J66">
        <v>5</v>
      </c>
      <c r="K66" t="s">
        <v>21</v>
      </c>
      <c r="L66" t="s">
        <v>17</v>
      </c>
    </row>
    <row r="67" spans="1:12" hidden="1" x14ac:dyDescent="0.25">
      <c r="A67">
        <v>1066</v>
      </c>
      <c r="B67" t="s">
        <v>40</v>
      </c>
      <c r="C67" t="s">
        <v>19</v>
      </c>
      <c r="D67" s="2">
        <v>45733</v>
      </c>
      <c r="E67" t="s">
        <v>14</v>
      </c>
      <c r="F67" t="s">
        <v>15</v>
      </c>
      <c r="G67">
        <v>56</v>
      </c>
      <c r="H67">
        <v>54</v>
      </c>
      <c r="I67">
        <v>7.3</v>
      </c>
      <c r="J67">
        <v>3</v>
      </c>
      <c r="K67" t="s">
        <v>31</v>
      </c>
      <c r="L67" t="s">
        <v>17</v>
      </c>
    </row>
    <row r="68" spans="1:12" hidden="1" x14ac:dyDescent="0.25">
      <c r="A68">
        <v>1067</v>
      </c>
      <c r="B68" t="s">
        <v>12</v>
      </c>
      <c r="C68" t="s">
        <v>24</v>
      </c>
      <c r="D68" s="2">
        <v>45690</v>
      </c>
      <c r="E68" t="s">
        <v>27</v>
      </c>
      <c r="F68" t="s">
        <v>15</v>
      </c>
      <c r="G68">
        <v>44</v>
      </c>
      <c r="H68">
        <v>42</v>
      </c>
      <c r="I68">
        <v>9.1</v>
      </c>
      <c r="J68">
        <v>2</v>
      </c>
      <c r="K68" t="s">
        <v>31</v>
      </c>
      <c r="L68" t="s">
        <v>33</v>
      </c>
    </row>
    <row r="69" spans="1:12" hidden="1" x14ac:dyDescent="0.25">
      <c r="A69">
        <v>1068</v>
      </c>
      <c r="B69" t="s">
        <v>39</v>
      </c>
      <c r="C69" t="s">
        <v>19</v>
      </c>
      <c r="D69" s="2">
        <v>45694</v>
      </c>
      <c r="E69" t="s">
        <v>27</v>
      </c>
      <c r="F69" t="s">
        <v>20</v>
      </c>
      <c r="G69">
        <v>29</v>
      </c>
      <c r="H69">
        <v>25</v>
      </c>
      <c r="I69">
        <v>6</v>
      </c>
      <c r="J69">
        <v>5</v>
      </c>
      <c r="K69" t="s">
        <v>31</v>
      </c>
      <c r="L69" t="s">
        <v>37</v>
      </c>
    </row>
    <row r="70" spans="1:12" hidden="1" x14ac:dyDescent="0.25">
      <c r="A70">
        <v>1069</v>
      </c>
      <c r="B70" t="s">
        <v>18</v>
      </c>
      <c r="C70" t="s">
        <v>19</v>
      </c>
      <c r="D70" s="2">
        <v>45820</v>
      </c>
      <c r="E70" t="s">
        <v>27</v>
      </c>
      <c r="F70" t="s">
        <v>30</v>
      </c>
      <c r="G70">
        <v>42</v>
      </c>
      <c r="H70">
        <v>36</v>
      </c>
      <c r="I70">
        <v>6.7</v>
      </c>
      <c r="J70">
        <v>4</v>
      </c>
      <c r="K70" t="s">
        <v>31</v>
      </c>
      <c r="L70" t="s">
        <v>33</v>
      </c>
    </row>
    <row r="71" spans="1:12" hidden="1" x14ac:dyDescent="0.25">
      <c r="A71">
        <v>1070</v>
      </c>
      <c r="B71" t="s">
        <v>39</v>
      </c>
      <c r="C71" t="s">
        <v>19</v>
      </c>
      <c r="D71" s="2">
        <v>45673</v>
      </c>
      <c r="E71" t="s">
        <v>14</v>
      </c>
      <c r="F71" t="s">
        <v>20</v>
      </c>
      <c r="G71">
        <v>50</v>
      </c>
      <c r="H71">
        <v>49</v>
      </c>
      <c r="I71">
        <v>6.8</v>
      </c>
      <c r="J71">
        <v>1</v>
      </c>
      <c r="K71" t="s">
        <v>28</v>
      </c>
      <c r="L71" t="s">
        <v>26</v>
      </c>
    </row>
    <row r="72" spans="1:12" hidden="1" x14ac:dyDescent="0.25">
      <c r="A72">
        <v>1071</v>
      </c>
      <c r="B72" t="s">
        <v>40</v>
      </c>
      <c r="C72" t="s">
        <v>13</v>
      </c>
      <c r="D72" s="2">
        <v>45668</v>
      </c>
      <c r="E72" t="s">
        <v>27</v>
      </c>
      <c r="F72" t="s">
        <v>20</v>
      </c>
      <c r="G72">
        <v>56</v>
      </c>
      <c r="H72">
        <v>52</v>
      </c>
      <c r="I72">
        <v>7</v>
      </c>
      <c r="J72">
        <v>3</v>
      </c>
      <c r="K72" t="s">
        <v>28</v>
      </c>
      <c r="L72" t="s">
        <v>37</v>
      </c>
    </row>
    <row r="73" spans="1:12" hidden="1" x14ac:dyDescent="0.25">
      <c r="A73">
        <v>1072</v>
      </c>
      <c r="B73" t="s">
        <v>39</v>
      </c>
      <c r="C73" t="s">
        <v>24</v>
      </c>
      <c r="D73" s="2">
        <v>45796</v>
      </c>
      <c r="E73" t="s">
        <v>27</v>
      </c>
      <c r="F73" t="s">
        <v>15</v>
      </c>
      <c r="G73">
        <v>48</v>
      </c>
      <c r="H73">
        <v>48</v>
      </c>
      <c r="I73">
        <v>8.5</v>
      </c>
      <c r="J73">
        <v>5</v>
      </c>
      <c r="K73" t="s">
        <v>28</v>
      </c>
      <c r="L73" t="s">
        <v>17</v>
      </c>
    </row>
    <row r="74" spans="1:12" hidden="1" x14ac:dyDescent="0.25">
      <c r="A74">
        <v>1073</v>
      </c>
      <c r="B74" t="s">
        <v>40</v>
      </c>
      <c r="C74" t="s">
        <v>19</v>
      </c>
      <c r="D74" s="2">
        <v>45805</v>
      </c>
      <c r="E74" t="s">
        <v>35</v>
      </c>
      <c r="F74" t="s">
        <v>30</v>
      </c>
      <c r="G74">
        <v>35</v>
      </c>
      <c r="H74">
        <v>32</v>
      </c>
      <c r="I74">
        <v>7.2</v>
      </c>
      <c r="J74">
        <v>2</v>
      </c>
      <c r="K74" t="s">
        <v>21</v>
      </c>
      <c r="L74" t="s">
        <v>26</v>
      </c>
    </row>
    <row r="75" spans="1:12" hidden="1" x14ac:dyDescent="0.25">
      <c r="A75">
        <v>1074</v>
      </c>
      <c r="B75" t="s">
        <v>32</v>
      </c>
      <c r="C75" t="s">
        <v>13</v>
      </c>
      <c r="D75" s="2">
        <v>45738</v>
      </c>
      <c r="E75" t="s">
        <v>14</v>
      </c>
      <c r="F75" t="s">
        <v>15</v>
      </c>
      <c r="G75">
        <v>35</v>
      </c>
      <c r="H75">
        <v>30</v>
      </c>
      <c r="I75">
        <v>8.3000000000000007</v>
      </c>
      <c r="J75">
        <v>1</v>
      </c>
      <c r="K75" t="s">
        <v>21</v>
      </c>
      <c r="L75" t="s">
        <v>22</v>
      </c>
    </row>
    <row r="76" spans="1:12" hidden="1" x14ac:dyDescent="0.25">
      <c r="A76">
        <v>1075</v>
      </c>
      <c r="B76" t="s">
        <v>23</v>
      </c>
      <c r="C76" t="s">
        <v>19</v>
      </c>
      <c r="D76" s="2">
        <v>45801</v>
      </c>
      <c r="E76" t="s">
        <v>27</v>
      </c>
      <c r="F76" t="s">
        <v>30</v>
      </c>
      <c r="G76">
        <v>47</v>
      </c>
      <c r="H76">
        <v>44</v>
      </c>
      <c r="I76">
        <v>5.7</v>
      </c>
      <c r="J76">
        <v>2</v>
      </c>
      <c r="K76" t="s">
        <v>16</v>
      </c>
      <c r="L76" t="s">
        <v>33</v>
      </c>
    </row>
    <row r="77" spans="1:12" hidden="1" x14ac:dyDescent="0.25">
      <c r="A77">
        <v>1076</v>
      </c>
      <c r="B77" t="s">
        <v>18</v>
      </c>
      <c r="C77" t="s">
        <v>19</v>
      </c>
      <c r="D77" s="2">
        <v>45783</v>
      </c>
      <c r="E77" t="s">
        <v>14</v>
      </c>
      <c r="F77" t="s">
        <v>15</v>
      </c>
      <c r="G77">
        <v>27</v>
      </c>
      <c r="H77">
        <v>27</v>
      </c>
      <c r="I77">
        <v>7.8</v>
      </c>
      <c r="J77">
        <v>4</v>
      </c>
      <c r="K77" t="s">
        <v>31</v>
      </c>
      <c r="L77" t="s">
        <v>33</v>
      </c>
    </row>
    <row r="78" spans="1:12" x14ac:dyDescent="0.25">
      <c r="A78">
        <v>1077</v>
      </c>
      <c r="B78" t="s">
        <v>29</v>
      </c>
      <c r="C78" t="s">
        <v>13</v>
      </c>
      <c r="D78" s="2">
        <v>45667</v>
      </c>
      <c r="E78" t="s">
        <v>14</v>
      </c>
      <c r="F78" t="s">
        <v>25</v>
      </c>
      <c r="G78">
        <v>33</v>
      </c>
      <c r="H78">
        <v>27</v>
      </c>
      <c r="I78">
        <v>9.3000000000000007</v>
      </c>
      <c r="J78">
        <v>4</v>
      </c>
      <c r="K78" t="s">
        <v>28</v>
      </c>
      <c r="L78" t="s">
        <v>17</v>
      </c>
    </row>
    <row r="79" spans="1:12" hidden="1" x14ac:dyDescent="0.25">
      <c r="A79">
        <v>1078</v>
      </c>
      <c r="B79" t="s">
        <v>32</v>
      </c>
      <c r="C79" t="s">
        <v>13</v>
      </c>
      <c r="D79" s="2">
        <v>45667</v>
      </c>
      <c r="E79" t="s">
        <v>14</v>
      </c>
      <c r="F79" t="s">
        <v>20</v>
      </c>
      <c r="G79">
        <v>47</v>
      </c>
      <c r="H79">
        <v>45</v>
      </c>
      <c r="I79">
        <v>7.7</v>
      </c>
      <c r="J79">
        <v>5</v>
      </c>
      <c r="K79" t="s">
        <v>31</v>
      </c>
      <c r="L79" t="s">
        <v>17</v>
      </c>
    </row>
    <row r="80" spans="1:12" hidden="1" x14ac:dyDescent="0.25">
      <c r="A80">
        <v>1079</v>
      </c>
      <c r="B80" t="s">
        <v>29</v>
      </c>
      <c r="C80" t="s">
        <v>19</v>
      </c>
      <c r="D80" s="2">
        <v>45807</v>
      </c>
      <c r="E80" t="s">
        <v>27</v>
      </c>
      <c r="F80" t="s">
        <v>15</v>
      </c>
      <c r="G80">
        <v>39</v>
      </c>
      <c r="H80">
        <v>37</v>
      </c>
      <c r="I80">
        <v>9.6</v>
      </c>
      <c r="J80">
        <v>1</v>
      </c>
      <c r="K80" t="s">
        <v>16</v>
      </c>
      <c r="L80" t="s">
        <v>17</v>
      </c>
    </row>
    <row r="81" spans="1:12" hidden="1" x14ac:dyDescent="0.25">
      <c r="A81">
        <v>1080</v>
      </c>
      <c r="B81" t="s">
        <v>40</v>
      </c>
      <c r="C81" t="s">
        <v>24</v>
      </c>
      <c r="D81" s="2">
        <v>45770</v>
      </c>
      <c r="E81" t="s">
        <v>35</v>
      </c>
      <c r="F81" t="s">
        <v>30</v>
      </c>
      <c r="G81">
        <v>41</v>
      </c>
      <c r="H81">
        <v>41</v>
      </c>
      <c r="I81">
        <v>9.5</v>
      </c>
      <c r="J81">
        <v>2</v>
      </c>
      <c r="K81" t="s">
        <v>16</v>
      </c>
      <c r="L81" t="s">
        <v>22</v>
      </c>
    </row>
    <row r="82" spans="1:12" hidden="1" x14ac:dyDescent="0.25">
      <c r="A82">
        <v>1081</v>
      </c>
      <c r="B82" t="s">
        <v>18</v>
      </c>
      <c r="C82" t="s">
        <v>24</v>
      </c>
      <c r="D82" s="2">
        <v>45754</v>
      </c>
      <c r="E82" t="s">
        <v>14</v>
      </c>
      <c r="F82" t="s">
        <v>15</v>
      </c>
      <c r="G82">
        <v>44</v>
      </c>
      <c r="H82">
        <v>44</v>
      </c>
      <c r="I82">
        <v>8</v>
      </c>
      <c r="J82">
        <v>3</v>
      </c>
      <c r="K82" t="s">
        <v>28</v>
      </c>
      <c r="L82" t="s">
        <v>37</v>
      </c>
    </row>
    <row r="83" spans="1:12" x14ac:dyDescent="0.25">
      <c r="A83">
        <v>1082</v>
      </c>
      <c r="B83" t="s">
        <v>39</v>
      </c>
      <c r="C83" t="s">
        <v>19</v>
      </c>
      <c r="D83" s="2">
        <v>45790</v>
      </c>
      <c r="E83" t="s">
        <v>35</v>
      </c>
      <c r="F83" t="s">
        <v>25</v>
      </c>
      <c r="G83">
        <v>34</v>
      </c>
      <c r="H83">
        <v>29</v>
      </c>
      <c r="I83">
        <v>7.6</v>
      </c>
      <c r="J83">
        <v>5</v>
      </c>
      <c r="K83" t="s">
        <v>21</v>
      </c>
      <c r="L83" t="s">
        <v>26</v>
      </c>
    </row>
    <row r="84" spans="1:12" hidden="1" x14ac:dyDescent="0.25">
      <c r="A84">
        <v>1083</v>
      </c>
      <c r="B84" t="s">
        <v>32</v>
      </c>
      <c r="C84" t="s">
        <v>13</v>
      </c>
      <c r="D84" s="2">
        <v>45751</v>
      </c>
      <c r="E84" t="s">
        <v>14</v>
      </c>
      <c r="F84" t="s">
        <v>30</v>
      </c>
      <c r="G84">
        <v>57</v>
      </c>
      <c r="H84">
        <v>56</v>
      </c>
      <c r="I84">
        <v>7.9</v>
      </c>
      <c r="J84">
        <v>3</v>
      </c>
      <c r="K84" t="s">
        <v>28</v>
      </c>
      <c r="L84" t="s">
        <v>33</v>
      </c>
    </row>
    <row r="85" spans="1:12" x14ac:dyDescent="0.25">
      <c r="A85">
        <v>1084</v>
      </c>
      <c r="B85" t="s">
        <v>36</v>
      </c>
      <c r="C85" t="s">
        <v>13</v>
      </c>
      <c r="D85" s="2">
        <v>45766</v>
      </c>
      <c r="E85" t="s">
        <v>35</v>
      </c>
      <c r="F85" t="s">
        <v>25</v>
      </c>
      <c r="G85">
        <v>46</v>
      </c>
      <c r="H85">
        <v>40</v>
      </c>
      <c r="I85">
        <v>5.7</v>
      </c>
      <c r="J85">
        <v>1</v>
      </c>
      <c r="K85" t="s">
        <v>31</v>
      </c>
      <c r="L85" t="s">
        <v>22</v>
      </c>
    </row>
    <row r="86" spans="1:12" x14ac:dyDescent="0.25">
      <c r="A86">
        <v>1085</v>
      </c>
      <c r="B86" t="s">
        <v>32</v>
      </c>
      <c r="C86" t="s">
        <v>13</v>
      </c>
      <c r="D86" s="2">
        <v>45751</v>
      </c>
      <c r="E86" t="s">
        <v>27</v>
      </c>
      <c r="F86" t="s">
        <v>25</v>
      </c>
      <c r="G86">
        <v>29</v>
      </c>
      <c r="H86">
        <v>27</v>
      </c>
      <c r="I86">
        <v>7.3</v>
      </c>
      <c r="J86">
        <v>1</v>
      </c>
      <c r="K86" t="s">
        <v>28</v>
      </c>
      <c r="L86" t="s">
        <v>22</v>
      </c>
    </row>
    <row r="87" spans="1:12" hidden="1" x14ac:dyDescent="0.25">
      <c r="A87">
        <v>1086</v>
      </c>
      <c r="B87" t="s">
        <v>36</v>
      </c>
      <c r="C87" t="s">
        <v>13</v>
      </c>
      <c r="D87" s="2">
        <v>45759</v>
      </c>
      <c r="E87" t="s">
        <v>35</v>
      </c>
      <c r="F87" t="s">
        <v>20</v>
      </c>
      <c r="G87">
        <v>60</v>
      </c>
      <c r="H87">
        <v>55</v>
      </c>
      <c r="I87">
        <v>4.2</v>
      </c>
      <c r="J87">
        <v>5</v>
      </c>
      <c r="K87" t="s">
        <v>31</v>
      </c>
      <c r="L87" t="s">
        <v>33</v>
      </c>
    </row>
    <row r="88" spans="1:12" hidden="1" x14ac:dyDescent="0.25">
      <c r="A88">
        <v>1087</v>
      </c>
      <c r="B88" t="s">
        <v>34</v>
      </c>
      <c r="C88" t="s">
        <v>19</v>
      </c>
      <c r="D88" s="2">
        <v>45770</v>
      </c>
      <c r="E88" t="s">
        <v>27</v>
      </c>
      <c r="F88" t="s">
        <v>30</v>
      </c>
      <c r="G88">
        <v>57</v>
      </c>
      <c r="H88">
        <v>57</v>
      </c>
      <c r="I88">
        <v>5.0999999999999996</v>
      </c>
      <c r="J88">
        <v>3</v>
      </c>
      <c r="K88" t="s">
        <v>21</v>
      </c>
      <c r="L88" t="s">
        <v>33</v>
      </c>
    </row>
    <row r="89" spans="1:12" hidden="1" x14ac:dyDescent="0.25">
      <c r="A89">
        <v>1088</v>
      </c>
      <c r="B89" t="s">
        <v>34</v>
      </c>
      <c r="C89" t="s">
        <v>19</v>
      </c>
      <c r="D89" s="2">
        <v>45807</v>
      </c>
      <c r="E89" t="s">
        <v>27</v>
      </c>
      <c r="F89" t="s">
        <v>15</v>
      </c>
      <c r="G89">
        <v>53</v>
      </c>
      <c r="H89">
        <v>50</v>
      </c>
      <c r="I89">
        <v>9.9</v>
      </c>
      <c r="J89">
        <v>3</v>
      </c>
      <c r="K89" t="s">
        <v>28</v>
      </c>
      <c r="L89" t="s">
        <v>37</v>
      </c>
    </row>
    <row r="90" spans="1:12" hidden="1" x14ac:dyDescent="0.25">
      <c r="A90">
        <v>1089</v>
      </c>
      <c r="B90" t="s">
        <v>38</v>
      </c>
      <c r="C90" t="s">
        <v>24</v>
      </c>
      <c r="D90" s="2">
        <v>45829</v>
      </c>
      <c r="E90" t="s">
        <v>35</v>
      </c>
      <c r="F90" t="s">
        <v>30</v>
      </c>
      <c r="G90">
        <v>36</v>
      </c>
      <c r="H90">
        <v>30</v>
      </c>
      <c r="I90">
        <v>5.0999999999999996</v>
      </c>
      <c r="J90">
        <v>4</v>
      </c>
      <c r="K90" t="s">
        <v>31</v>
      </c>
      <c r="L90" t="s">
        <v>17</v>
      </c>
    </row>
    <row r="91" spans="1:12" hidden="1" x14ac:dyDescent="0.25">
      <c r="A91">
        <v>1090</v>
      </c>
      <c r="B91" t="s">
        <v>40</v>
      </c>
      <c r="C91" t="s">
        <v>19</v>
      </c>
      <c r="D91" s="2">
        <v>45725</v>
      </c>
      <c r="E91" t="s">
        <v>14</v>
      </c>
      <c r="F91" t="s">
        <v>15</v>
      </c>
      <c r="G91">
        <v>43</v>
      </c>
      <c r="H91">
        <v>37</v>
      </c>
      <c r="I91">
        <v>7.9</v>
      </c>
      <c r="J91">
        <v>5</v>
      </c>
      <c r="K91" t="s">
        <v>16</v>
      </c>
      <c r="L91" t="s">
        <v>26</v>
      </c>
    </row>
    <row r="92" spans="1:12" hidden="1" x14ac:dyDescent="0.25">
      <c r="A92">
        <v>1091</v>
      </c>
      <c r="B92" t="s">
        <v>39</v>
      </c>
      <c r="C92" t="s">
        <v>19</v>
      </c>
      <c r="D92" s="2">
        <v>45768</v>
      </c>
      <c r="E92" t="s">
        <v>14</v>
      </c>
      <c r="F92" t="s">
        <v>30</v>
      </c>
      <c r="G92">
        <v>60</v>
      </c>
      <c r="H92">
        <v>59</v>
      </c>
      <c r="I92">
        <v>6.3</v>
      </c>
      <c r="J92">
        <v>1</v>
      </c>
      <c r="K92" t="s">
        <v>31</v>
      </c>
      <c r="L92" t="s">
        <v>33</v>
      </c>
    </row>
    <row r="93" spans="1:12" hidden="1" x14ac:dyDescent="0.25">
      <c r="A93">
        <v>1092</v>
      </c>
      <c r="B93" t="s">
        <v>12</v>
      </c>
      <c r="C93" t="s">
        <v>13</v>
      </c>
      <c r="D93" s="2">
        <v>45696</v>
      </c>
      <c r="E93" t="s">
        <v>35</v>
      </c>
      <c r="F93" t="s">
        <v>20</v>
      </c>
      <c r="G93">
        <v>27</v>
      </c>
      <c r="H93">
        <v>23</v>
      </c>
      <c r="I93">
        <v>4.5</v>
      </c>
      <c r="J93">
        <v>3</v>
      </c>
      <c r="K93" t="s">
        <v>16</v>
      </c>
      <c r="L93" t="s">
        <v>17</v>
      </c>
    </row>
    <row r="94" spans="1:12" hidden="1" x14ac:dyDescent="0.25">
      <c r="A94">
        <v>1093</v>
      </c>
      <c r="B94" t="s">
        <v>12</v>
      </c>
      <c r="C94" t="s">
        <v>13</v>
      </c>
      <c r="D94" s="2">
        <v>45746</v>
      </c>
      <c r="E94" t="s">
        <v>27</v>
      </c>
      <c r="F94" t="s">
        <v>15</v>
      </c>
      <c r="G94">
        <v>56</v>
      </c>
      <c r="H94">
        <v>53</v>
      </c>
      <c r="I94">
        <v>4.7</v>
      </c>
      <c r="J94">
        <v>4</v>
      </c>
      <c r="K94" t="s">
        <v>31</v>
      </c>
      <c r="L94" t="s">
        <v>26</v>
      </c>
    </row>
    <row r="95" spans="1:12" hidden="1" x14ac:dyDescent="0.25">
      <c r="A95">
        <v>1094</v>
      </c>
      <c r="B95" t="s">
        <v>29</v>
      </c>
      <c r="C95" t="s">
        <v>24</v>
      </c>
      <c r="D95" s="2">
        <v>45810</v>
      </c>
      <c r="E95" t="s">
        <v>27</v>
      </c>
      <c r="F95" t="s">
        <v>30</v>
      </c>
      <c r="G95">
        <v>43</v>
      </c>
      <c r="H95">
        <v>43</v>
      </c>
      <c r="I95">
        <v>8.5</v>
      </c>
      <c r="J95">
        <v>3</v>
      </c>
      <c r="K95" t="s">
        <v>16</v>
      </c>
      <c r="L95" t="s">
        <v>26</v>
      </c>
    </row>
    <row r="96" spans="1:12" x14ac:dyDescent="0.25">
      <c r="A96">
        <v>1095</v>
      </c>
      <c r="B96" t="s">
        <v>12</v>
      </c>
      <c r="C96" t="s">
        <v>19</v>
      </c>
      <c r="D96" s="2">
        <v>45767</v>
      </c>
      <c r="E96" t="s">
        <v>35</v>
      </c>
      <c r="F96" t="s">
        <v>25</v>
      </c>
      <c r="G96">
        <v>54</v>
      </c>
      <c r="H96">
        <v>51</v>
      </c>
      <c r="I96">
        <v>7.9</v>
      </c>
      <c r="J96">
        <v>3</v>
      </c>
      <c r="K96" t="s">
        <v>21</v>
      </c>
      <c r="L96" t="s">
        <v>17</v>
      </c>
    </row>
    <row r="97" spans="1:12" hidden="1" x14ac:dyDescent="0.25">
      <c r="A97">
        <v>1096</v>
      </c>
      <c r="B97" t="s">
        <v>38</v>
      </c>
      <c r="C97" t="s">
        <v>13</v>
      </c>
      <c r="D97" s="2">
        <v>45676</v>
      </c>
      <c r="E97" t="s">
        <v>35</v>
      </c>
      <c r="F97" t="s">
        <v>15</v>
      </c>
      <c r="G97">
        <v>25</v>
      </c>
      <c r="H97">
        <v>22</v>
      </c>
      <c r="I97">
        <v>8</v>
      </c>
      <c r="J97">
        <v>4</v>
      </c>
      <c r="K97" t="s">
        <v>16</v>
      </c>
      <c r="L97" t="s">
        <v>33</v>
      </c>
    </row>
    <row r="98" spans="1:12" x14ac:dyDescent="0.25">
      <c r="A98">
        <v>1097</v>
      </c>
      <c r="B98" t="s">
        <v>38</v>
      </c>
      <c r="C98" t="s">
        <v>13</v>
      </c>
      <c r="D98" s="2">
        <v>45718</v>
      </c>
      <c r="E98" t="s">
        <v>27</v>
      </c>
      <c r="F98" t="s">
        <v>25</v>
      </c>
      <c r="G98">
        <v>59</v>
      </c>
      <c r="H98">
        <v>58</v>
      </c>
      <c r="I98">
        <v>6.2</v>
      </c>
      <c r="J98">
        <v>5</v>
      </c>
      <c r="K98" t="s">
        <v>31</v>
      </c>
      <c r="L98" t="s">
        <v>37</v>
      </c>
    </row>
    <row r="99" spans="1:12" x14ac:dyDescent="0.25">
      <c r="A99">
        <v>1098</v>
      </c>
      <c r="B99" t="s">
        <v>12</v>
      </c>
      <c r="C99" t="s">
        <v>19</v>
      </c>
      <c r="D99" s="2">
        <v>45693</v>
      </c>
      <c r="E99" t="s">
        <v>27</v>
      </c>
      <c r="F99" t="s">
        <v>25</v>
      </c>
      <c r="G99">
        <v>32</v>
      </c>
      <c r="H99">
        <v>30</v>
      </c>
      <c r="I99">
        <v>9.4</v>
      </c>
      <c r="J99">
        <v>5</v>
      </c>
      <c r="K99" t="s">
        <v>16</v>
      </c>
      <c r="L99" t="s">
        <v>33</v>
      </c>
    </row>
    <row r="100" spans="1:12" hidden="1" x14ac:dyDescent="0.25">
      <c r="A100">
        <v>1099</v>
      </c>
      <c r="B100" t="s">
        <v>29</v>
      </c>
      <c r="C100" t="s">
        <v>13</v>
      </c>
      <c r="D100" s="2">
        <v>45823</v>
      </c>
      <c r="E100" t="s">
        <v>27</v>
      </c>
      <c r="F100" t="s">
        <v>20</v>
      </c>
      <c r="G100">
        <v>41</v>
      </c>
      <c r="H100">
        <v>38</v>
      </c>
      <c r="I100">
        <v>9</v>
      </c>
      <c r="J100">
        <v>1</v>
      </c>
      <c r="K100" t="s">
        <v>21</v>
      </c>
      <c r="L100" t="s">
        <v>26</v>
      </c>
    </row>
    <row r="101" spans="1:12" hidden="1" x14ac:dyDescent="0.25">
      <c r="A101">
        <v>1100</v>
      </c>
      <c r="B101" t="s">
        <v>40</v>
      </c>
      <c r="C101" t="s">
        <v>13</v>
      </c>
      <c r="D101" s="2">
        <v>45700</v>
      </c>
      <c r="E101" t="s">
        <v>27</v>
      </c>
      <c r="F101" t="s">
        <v>30</v>
      </c>
      <c r="G101">
        <v>43</v>
      </c>
      <c r="H101">
        <v>40</v>
      </c>
      <c r="I101">
        <v>5.8</v>
      </c>
      <c r="J101">
        <v>5</v>
      </c>
      <c r="K101" t="s">
        <v>21</v>
      </c>
      <c r="L101" t="s">
        <v>17</v>
      </c>
    </row>
    <row r="102" spans="1:12" x14ac:dyDescent="0.25">
      <c r="A102">
        <v>1101</v>
      </c>
      <c r="B102" t="s">
        <v>18</v>
      </c>
      <c r="C102" t="s">
        <v>24</v>
      </c>
      <c r="D102" s="2">
        <v>45699</v>
      </c>
      <c r="E102" t="s">
        <v>27</v>
      </c>
      <c r="F102" t="s">
        <v>25</v>
      </c>
      <c r="G102">
        <v>35</v>
      </c>
      <c r="H102">
        <v>34</v>
      </c>
      <c r="I102">
        <v>4.2</v>
      </c>
      <c r="J102">
        <v>1</v>
      </c>
      <c r="K102" t="s">
        <v>21</v>
      </c>
      <c r="L102" t="s">
        <v>37</v>
      </c>
    </row>
    <row r="103" spans="1:12" x14ac:dyDescent="0.25">
      <c r="A103">
        <v>1102</v>
      </c>
      <c r="B103" t="s">
        <v>36</v>
      </c>
      <c r="C103" t="s">
        <v>24</v>
      </c>
      <c r="D103" s="2">
        <v>45734</v>
      </c>
      <c r="E103" t="s">
        <v>35</v>
      </c>
      <c r="F103" t="s">
        <v>25</v>
      </c>
      <c r="G103">
        <v>43</v>
      </c>
      <c r="H103">
        <v>38</v>
      </c>
      <c r="I103">
        <v>3.7</v>
      </c>
      <c r="J103">
        <v>1</v>
      </c>
      <c r="K103" t="s">
        <v>31</v>
      </c>
      <c r="L103" t="s">
        <v>37</v>
      </c>
    </row>
    <row r="104" spans="1:12" x14ac:dyDescent="0.25">
      <c r="A104">
        <v>1103</v>
      </c>
      <c r="B104" t="s">
        <v>36</v>
      </c>
      <c r="C104" t="s">
        <v>19</v>
      </c>
      <c r="D104" s="2">
        <v>45820</v>
      </c>
      <c r="E104" t="s">
        <v>27</v>
      </c>
      <c r="F104" t="s">
        <v>25</v>
      </c>
      <c r="G104">
        <v>49</v>
      </c>
      <c r="H104">
        <v>49</v>
      </c>
      <c r="I104">
        <v>9.8000000000000007</v>
      </c>
      <c r="J104">
        <v>3</v>
      </c>
      <c r="K104" t="s">
        <v>21</v>
      </c>
      <c r="L104" t="s">
        <v>37</v>
      </c>
    </row>
    <row r="105" spans="1:12" hidden="1" x14ac:dyDescent="0.25">
      <c r="A105">
        <v>1104</v>
      </c>
      <c r="B105" t="s">
        <v>40</v>
      </c>
      <c r="C105" t="s">
        <v>24</v>
      </c>
      <c r="D105" s="2">
        <v>45740</v>
      </c>
      <c r="E105" t="s">
        <v>27</v>
      </c>
      <c r="F105" t="s">
        <v>30</v>
      </c>
      <c r="G105">
        <v>48</v>
      </c>
      <c r="H105">
        <v>43</v>
      </c>
      <c r="I105">
        <v>5.3</v>
      </c>
      <c r="J105">
        <v>5</v>
      </c>
      <c r="K105" t="s">
        <v>31</v>
      </c>
      <c r="L105" t="s">
        <v>33</v>
      </c>
    </row>
    <row r="106" spans="1:12" x14ac:dyDescent="0.25">
      <c r="A106">
        <v>1105</v>
      </c>
      <c r="B106" t="s">
        <v>36</v>
      </c>
      <c r="C106" t="s">
        <v>24</v>
      </c>
      <c r="D106" s="2">
        <v>45696</v>
      </c>
      <c r="E106" t="s">
        <v>14</v>
      </c>
      <c r="F106" t="s">
        <v>25</v>
      </c>
      <c r="G106">
        <v>50</v>
      </c>
      <c r="H106">
        <v>47</v>
      </c>
      <c r="I106">
        <v>5.7</v>
      </c>
      <c r="J106">
        <v>5</v>
      </c>
      <c r="K106" t="s">
        <v>16</v>
      </c>
      <c r="L106" t="s">
        <v>33</v>
      </c>
    </row>
    <row r="107" spans="1:12" hidden="1" x14ac:dyDescent="0.25">
      <c r="A107">
        <v>1106</v>
      </c>
      <c r="B107" t="s">
        <v>34</v>
      </c>
      <c r="C107" t="s">
        <v>13</v>
      </c>
      <c r="D107" s="2">
        <v>45823</v>
      </c>
      <c r="E107" t="s">
        <v>14</v>
      </c>
      <c r="F107" t="s">
        <v>30</v>
      </c>
      <c r="G107">
        <v>31</v>
      </c>
      <c r="H107">
        <v>26</v>
      </c>
      <c r="I107">
        <v>6.6</v>
      </c>
      <c r="J107">
        <v>3</v>
      </c>
      <c r="K107" t="s">
        <v>21</v>
      </c>
      <c r="L107" t="s">
        <v>26</v>
      </c>
    </row>
    <row r="108" spans="1:12" hidden="1" x14ac:dyDescent="0.25">
      <c r="A108">
        <v>1107</v>
      </c>
      <c r="B108" t="s">
        <v>29</v>
      </c>
      <c r="C108" t="s">
        <v>13</v>
      </c>
      <c r="D108" s="2">
        <v>45833</v>
      </c>
      <c r="E108" t="s">
        <v>14</v>
      </c>
      <c r="F108" t="s">
        <v>30</v>
      </c>
      <c r="G108">
        <v>50</v>
      </c>
      <c r="H108">
        <v>45</v>
      </c>
      <c r="I108">
        <v>9</v>
      </c>
      <c r="J108">
        <v>5</v>
      </c>
      <c r="K108" t="s">
        <v>16</v>
      </c>
      <c r="L108" t="s">
        <v>26</v>
      </c>
    </row>
    <row r="109" spans="1:12" hidden="1" x14ac:dyDescent="0.25">
      <c r="A109">
        <v>1108</v>
      </c>
      <c r="B109" t="s">
        <v>29</v>
      </c>
      <c r="C109" t="s">
        <v>19</v>
      </c>
      <c r="D109" s="2">
        <v>45764</v>
      </c>
      <c r="E109" t="s">
        <v>35</v>
      </c>
      <c r="F109" t="s">
        <v>30</v>
      </c>
      <c r="G109">
        <v>47</v>
      </c>
      <c r="H109">
        <v>42</v>
      </c>
      <c r="I109">
        <v>7.5</v>
      </c>
      <c r="J109">
        <v>2</v>
      </c>
      <c r="K109" t="s">
        <v>28</v>
      </c>
      <c r="L109" t="s">
        <v>37</v>
      </c>
    </row>
    <row r="110" spans="1:12" hidden="1" x14ac:dyDescent="0.25">
      <c r="A110">
        <v>1109</v>
      </c>
      <c r="B110" t="s">
        <v>18</v>
      </c>
      <c r="C110" t="s">
        <v>24</v>
      </c>
      <c r="D110" s="2">
        <v>45724</v>
      </c>
      <c r="E110" t="s">
        <v>14</v>
      </c>
      <c r="F110" t="s">
        <v>20</v>
      </c>
      <c r="G110">
        <v>44</v>
      </c>
      <c r="H110">
        <v>41</v>
      </c>
      <c r="I110">
        <v>7.4</v>
      </c>
      <c r="J110">
        <v>4</v>
      </c>
      <c r="K110" t="s">
        <v>31</v>
      </c>
      <c r="L110" t="s">
        <v>26</v>
      </c>
    </row>
    <row r="111" spans="1:12" hidden="1" x14ac:dyDescent="0.25">
      <c r="A111">
        <v>1110</v>
      </c>
      <c r="B111" t="s">
        <v>39</v>
      </c>
      <c r="C111" t="s">
        <v>24</v>
      </c>
      <c r="D111" s="2">
        <v>45658</v>
      </c>
      <c r="E111" t="s">
        <v>27</v>
      </c>
      <c r="F111" t="s">
        <v>15</v>
      </c>
      <c r="G111">
        <v>47</v>
      </c>
      <c r="H111">
        <v>47</v>
      </c>
      <c r="I111">
        <v>6.2</v>
      </c>
      <c r="J111">
        <v>4</v>
      </c>
      <c r="K111" t="s">
        <v>28</v>
      </c>
      <c r="L111" t="s">
        <v>26</v>
      </c>
    </row>
    <row r="112" spans="1:12" hidden="1" x14ac:dyDescent="0.25">
      <c r="A112">
        <v>1111</v>
      </c>
      <c r="B112" t="s">
        <v>34</v>
      </c>
      <c r="C112" t="s">
        <v>13</v>
      </c>
      <c r="D112" s="2">
        <v>45739</v>
      </c>
      <c r="E112" t="s">
        <v>14</v>
      </c>
      <c r="F112" t="s">
        <v>20</v>
      </c>
      <c r="G112">
        <v>39</v>
      </c>
      <c r="H112">
        <v>39</v>
      </c>
      <c r="I112">
        <v>8</v>
      </c>
      <c r="J112">
        <v>3</v>
      </c>
      <c r="K112" t="s">
        <v>28</v>
      </c>
      <c r="L112" t="s">
        <v>22</v>
      </c>
    </row>
    <row r="113" spans="1:12" x14ac:dyDescent="0.25">
      <c r="A113">
        <v>1112</v>
      </c>
      <c r="B113" t="s">
        <v>32</v>
      </c>
      <c r="C113" t="s">
        <v>13</v>
      </c>
      <c r="D113" s="2">
        <v>45815</v>
      </c>
      <c r="E113" t="s">
        <v>14</v>
      </c>
      <c r="F113" t="s">
        <v>25</v>
      </c>
      <c r="G113">
        <v>54</v>
      </c>
      <c r="H113">
        <v>52</v>
      </c>
      <c r="I113">
        <v>6</v>
      </c>
      <c r="J113">
        <v>1</v>
      </c>
      <c r="K113" t="s">
        <v>16</v>
      </c>
      <c r="L113" t="s">
        <v>37</v>
      </c>
    </row>
    <row r="114" spans="1:12" hidden="1" x14ac:dyDescent="0.25">
      <c r="A114">
        <v>1113</v>
      </c>
      <c r="B114" t="s">
        <v>34</v>
      </c>
      <c r="C114" t="s">
        <v>19</v>
      </c>
      <c r="D114" s="2">
        <v>45820</v>
      </c>
      <c r="E114" t="s">
        <v>35</v>
      </c>
      <c r="F114" t="s">
        <v>30</v>
      </c>
      <c r="G114">
        <v>57</v>
      </c>
      <c r="H114">
        <v>53</v>
      </c>
      <c r="I114">
        <v>9.5</v>
      </c>
      <c r="J114">
        <v>3</v>
      </c>
      <c r="K114" t="s">
        <v>31</v>
      </c>
      <c r="L114" t="s">
        <v>37</v>
      </c>
    </row>
    <row r="115" spans="1:12" hidden="1" x14ac:dyDescent="0.25">
      <c r="A115">
        <v>1114</v>
      </c>
      <c r="B115" t="s">
        <v>18</v>
      </c>
      <c r="C115" t="s">
        <v>24</v>
      </c>
      <c r="D115" s="2">
        <v>45791</v>
      </c>
      <c r="E115" t="s">
        <v>27</v>
      </c>
      <c r="F115" t="s">
        <v>30</v>
      </c>
      <c r="G115">
        <v>54</v>
      </c>
      <c r="H115">
        <v>48</v>
      </c>
      <c r="I115">
        <v>6.1</v>
      </c>
      <c r="J115">
        <v>3</v>
      </c>
      <c r="K115" t="s">
        <v>21</v>
      </c>
      <c r="L115" t="s">
        <v>22</v>
      </c>
    </row>
    <row r="116" spans="1:12" x14ac:dyDescent="0.25">
      <c r="A116">
        <v>1115</v>
      </c>
      <c r="B116" t="s">
        <v>40</v>
      </c>
      <c r="C116" t="s">
        <v>19</v>
      </c>
      <c r="D116" s="2">
        <v>45806</v>
      </c>
      <c r="E116" t="s">
        <v>14</v>
      </c>
      <c r="F116" t="s">
        <v>25</v>
      </c>
      <c r="G116">
        <v>60</v>
      </c>
      <c r="H116">
        <v>58</v>
      </c>
      <c r="I116">
        <v>8.5</v>
      </c>
      <c r="J116">
        <v>3</v>
      </c>
      <c r="K116" t="s">
        <v>28</v>
      </c>
      <c r="L116" t="s">
        <v>22</v>
      </c>
    </row>
    <row r="117" spans="1:12" hidden="1" x14ac:dyDescent="0.25">
      <c r="A117">
        <v>1116</v>
      </c>
      <c r="B117" t="s">
        <v>12</v>
      </c>
      <c r="C117" t="s">
        <v>13</v>
      </c>
      <c r="D117" s="2">
        <v>45669</v>
      </c>
      <c r="E117" t="s">
        <v>27</v>
      </c>
      <c r="F117" t="s">
        <v>20</v>
      </c>
      <c r="G117">
        <v>53</v>
      </c>
      <c r="H117">
        <v>48</v>
      </c>
      <c r="I117">
        <v>5.5</v>
      </c>
      <c r="J117">
        <v>3</v>
      </c>
      <c r="K117" t="s">
        <v>28</v>
      </c>
      <c r="L117" t="s">
        <v>37</v>
      </c>
    </row>
    <row r="118" spans="1:12" x14ac:dyDescent="0.25">
      <c r="A118">
        <v>1117</v>
      </c>
      <c r="B118" t="s">
        <v>38</v>
      </c>
      <c r="C118" t="s">
        <v>24</v>
      </c>
      <c r="D118" s="2">
        <v>45758</v>
      </c>
      <c r="E118" t="s">
        <v>14</v>
      </c>
      <c r="F118" t="s">
        <v>25</v>
      </c>
      <c r="G118">
        <v>48</v>
      </c>
      <c r="H118">
        <v>43</v>
      </c>
      <c r="I118">
        <v>8.1</v>
      </c>
      <c r="J118">
        <v>3</v>
      </c>
      <c r="K118" t="s">
        <v>16</v>
      </c>
      <c r="L118" t="s">
        <v>33</v>
      </c>
    </row>
    <row r="119" spans="1:12" hidden="1" x14ac:dyDescent="0.25">
      <c r="A119">
        <v>1118</v>
      </c>
      <c r="B119" t="s">
        <v>18</v>
      </c>
      <c r="C119" t="s">
        <v>24</v>
      </c>
      <c r="D119" s="2">
        <v>45802</v>
      </c>
      <c r="E119" t="s">
        <v>27</v>
      </c>
      <c r="F119" t="s">
        <v>15</v>
      </c>
      <c r="G119">
        <v>25</v>
      </c>
      <c r="H119">
        <v>21</v>
      </c>
      <c r="I119">
        <v>9.9</v>
      </c>
      <c r="J119">
        <v>1</v>
      </c>
      <c r="K119" t="s">
        <v>31</v>
      </c>
      <c r="L119" t="s">
        <v>22</v>
      </c>
    </row>
    <row r="120" spans="1:12" x14ac:dyDescent="0.25">
      <c r="A120">
        <v>1119</v>
      </c>
      <c r="B120" t="s">
        <v>23</v>
      </c>
      <c r="C120" t="s">
        <v>19</v>
      </c>
      <c r="D120" s="2">
        <v>45716</v>
      </c>
      <c r="E120" t="s">
        <v>35</v>
      </c>
      <c r="F120" t="s">
        <v>25</v>
      </c>
      <c r="G120">
        <v>55</v>
      </c>
      <c r="H120">
        <v>53</v>
      </c>
      <c r="I120">
        <v>9.5</v>
      </c>
      <c r="J120">
        <v>4</v>
      </c>
      <c r="K120" t="s">
        <v>21</v>
      </c>
      <c r="L120" t="s">
        <v>37</v>
      </c>
    </row>
    <row r="121" spans="1:12" hidden="1" x14ac:dyDescent="0.25">
      <c r="A121">
        <v>1120</v>
      </c>
      <c r="B121" t="s">
        <v>29</v>
      </c>
      <c r="C121" t="s">
        <v>19</v>
      </c>
      <c r="D121" s="2">
        <v>45700</v>
      </c>
      <c r="E121" t="s">
        <v>27</v>
      </c>
      <c r="F121" t="s">
        <v>20</v>
      </c>
      <c r="G121">
        <v>48</v>
      </c>
      <c r="H121">
        <v>43</v>
      </c>
      <c r="I121">
        <v>5.7</v>
      </c>
      <c r="J121">
        <v>3</v>
      </c>
      <c r="K121" t="s">
        <v>28</v>
      </c>
      <c r="L121" t="s">
        <v>22</v>
      </c>
    </row>
    <row r="122" spans="1:12" hidden="1" x14ac:dyDescent="0.25">
      <c r="A122">
        <v>1121</v>
      </c>
      <c r="B122" t="s">
        <v>36</v>
      </c>
      <c r="C122" t="s">
        <v>24</v>
      </c>
      <c r="D122" s="2">
        <v>45789</v>
      </c>
      <c r="E122" t="s">
        <v>27</v>
      </c>
      <c r="F122" t="s">
        <v>20</v>
      </c>
      <c r="G122">
        <v>27</v>
      </c>
      <c r="H122">
        <v>24</v>
      </c>
      <c r="I122">
        <v>4.4000000000000004</v>
      </c>
      <c r="J122">
        <v>3</v>
      </c>
      <c r="K122" t="s">
        <v>16</v>
      </c>
      <c r="L122" t="s">
        <v>33</v>
      </c>
    </row>
    <row r="123" spans="1:12" x14ac:dyDescent="0.25">
      <c r="A123">
        <v>1122</v>
      </c>
      <c r="B123" t="s">
        <v>18</v>
      </c>
      <c r="C123" t="s">
        <v>24</v>
      </c>
      <c r="D123" s="2">
        <v>45808</v>
      </c>
      <c r="E123" t="s">
        <v>14</v>
      </c>
      <c r="F123" t="s">
        <v>25</v>
      </c>
      <c r="G123">
        <v>33</v>
      </c>
      <c r="H123">
        <v>31</v>
      </c>
      <c r="I123">
        <v>9.9</v>
      </c>
      <c r="J123">
        <v>4</v>
      </c>
      <c r="K123" t="s">
        <v>31</v>
      </c>
      <c r="L123" t="s">
        <v>22</v>
      </c>
    </row>
    <row r="124" spans="1:12" hidden="1" x14ac:dyDescent="0.25">
      <c r="A124">
        <v>1123</v>
      </c>
      <c r="B124" t="s">
        <v>29</v>
      </c>
      <c r="C124" t="s">
        <v>19</v>
      </c>
      <c r="D124" s="2">
        <v>45814</v>
      </c>
      <c r="E124" t="s">
        <v>35</v>
      </c>
      <c r="F124" t="s">
        <v>30</v>
      </c>
      <c r="G124">
        <v>43</v>
      </c>
      <c r="H124">
        <v>39</v>
      </c>
      <c r="I124">
        <v>4.5999999999999996</v>
      </c>
      <c r="J124">
        <v>4</v>
      </c>
      <c r="K124" t="s">
        <v>16</v>
      </c>
      <c r="L124" t="s">
        <v>33</v>
      </c>
    </row>
    <row r="125" spans="1:12" hidden="1" x14ac:dyDescent="0.25">
      <c r="A125">
        <v>1124</v>
      </c>
      <c r="B125" t="s">
        <v>40</v>
      </c>
      <c r="C125" t="s">
        <v>19</v>
      </c>
      <c r="D125" s="2">
        <v>45780</v>
      </c>
      <c r="E125" t="s">
        <v>14</v>
      </c>
      <c r="F125" t="s">
        <v>30</v>
      </c>
      <c r="G125">
        <v>56</v>
      </c>
      <c r="H125">
        <v>52</v>
      </c>
      <c r="I125">
        <v>3.8</v>
      </c>
      <c r="J125">
        <v>3</v>
      </c>
      <c r="K125" t="s">
        <v>31</v>
      </c>
      <c r="L125" t="s">
        <v>17</v>
      </c>
    </row>
    <row r="126" spans="1:12" x14ac:dyDescent="0.25">
      <c r="A126">
        <v>1125</v>
      </c>
      <c r="B126" t="s">
        <v>36</v>
      </c>
      <c r="C126" t="s">
        <v>13</v>
      </c>
      <c r="D126" s="2">
        <v>45801</v>
      </c>
      <c r="E126" t="s">
        <v>14</v>
      </c>
      <c r="F126" t="s">
        <v>25</v>
      </c>
      <c r="G126">
        <v>54</v>
      </c>
      <c r="H126">
        <v>52</v>
      </c>
      <c r="I126">
        <v>6.6</v>
      </c>
      <c r="J126">
        <v>1</v>
      </c>
      <c r="K126" t="s">
        <v>31</v>
      </c>
      <c r="L126" t="s">
        <v>26</v>
      </c>
    </row>
    <row r="127" spans="1:12" x14ac:dyDescent="0.25">
      <c r="A127">
        <v>1126</v>
      </c>
      <c r="B127" t="s">
        <v>39</v>
      </c>
      <c r="C127" t="s">
        <v>24</v>
      </c>
      <c r="D127" s="2">
        <v>45797</v>
      </c>
      <c r="E127" t="s">
        <v>35</v>
      </c>
      <c r="F127" t="s">
        <v>25</v>
      </c>
      <c r="G127">
        <v>54</v>
      </c>
      <c r="H127">
        <v>51</v>
      </c>
      <c r="I127">
        <v>6.3</v>
      </c>
      <c r="J127">
        <v>2</v>
      </c>
      <c r="K127" t="s">
        <v>16</v>
      </c>
      <c r="L127" t="s">
        <v>26</v>
      </c>
    </row>
    <row r="128" spans="1:12" hidden="1" x14ac:dyDescent="0.25">
      <c r="A128">
        <v>1127</v>
      </c>
      <c r="B128" t="s">
        <v>34</v>
      </c>
      <c r="C128" t="s">
        <v>19</v>
      </c>
      <c r="D128" s="2">
        <v>45662</v>
      </c>
      <c r="E128" t="s">
        <v>35</v>
      </c>
      <c r="F128" t="s">
        <v>20</v>
      </c>
      <c r="G128">
        <v>59</v>
      </c>
      <c r="H128">
        <v>55</v>
      </c>
      <c r="I128">
        <v>8</v>
      </c>
      <c r="J128">
        <v>3</v>
      </c>
      <c r="K128" t="s">
        <v>31</v>
      </c>
      <c r="L128" t="s">
        <v>22</v>
      </c>
    </row>
    <row r="129" spans="1:12" hidden="1" x14ac:dyDescent="0.25">
      <c r="A129">
        <v>1128</v>
      </c>
      <c r="B129" t="s">
        <v>39</v>
      </c>
      <c r="C129" t="s">
        <v>24</v>
      </c>
      <c r="D129" s="2">
        <v>45733</v>
      </c>
      <c r="E129" t="s">
        <v>14</v>
      </c>
      <c r="F129" t="s">
        <v>20</v>
      </c>
      <c r="G129">
        <v>57</v>
      </c>
      <c r="H129">
        <v>55</v>
      </c>
      <c r="I129">
        <v>4.3</v>
      </c>
      <c r="J129">
        <v>3</v>
      </c>
      <c r="K129" t="s">
        <v>21</v>
      </c>
      <c r="L129" t="s">
        <v>33</v>
      </c>
    </row>
    <row r="130" spans="1:12" hidden="1" x14ac:dyDescent="0.25">
      <c r="A130">
        <v>1129</v>
      </c>
      <c r="B130" t="s">
        <v>39</v>
      </c>
      <c r="C130" t="s">
        <v>13</v>
      </c>
      <c r="D130" s="2">
        <v>45740</v>
      </c>
      <c r="E130" t="s">
        <v>35</v>
      </c>
      <c r="F130" t="s">
        <v>15</v>
      </c>
      <c r="G130">
        <v>33</v>
      </c>
      <c r="H130">
        <v>28</v>
      </c>
      <c r="I130">
        <v>4.8</v>
      </c>
      <c r="J130">
        <v>2</v>
      </c>
      <c r="K130" t="s">
        <v>21</v>
      </c>
      <c r="L130" t="s">
        <v>17</v>
      </c>
    </row>
    <row r="131" spans="1:12" hidden="1" x14ac:dyDescent="0.25">
      <c r="A131">
        <v>1130</v>
      </c>
      <c r="B131" t="s">
        <v>34</v>
      </c>
      <c r="C131" t="s">
        <v>24</v>
      </c>
      <c r="D131" s="2">
        <v>45826</v>
      </c>
      <c r="E131" t="s">
        <v>35</v>
      </c>
      <c r="F131" t="s">
        <v>15</v>
      </c>
      <c r="G131">
        <v>49</v>
      </c>
      <c r="H131">
        <v>43</v>
      </c>
      <c r="I131">
        <v>5.2</v>
      </c>
      <c r="J131">
        <v>2</v>
      </c>
      <c r="K131" t="s">
        <v>28</v>
      </c>
      <c r="L131" t="s">
        <v>37</v>
      </c>
    </row>
    <row r="132" spans="1:12" hidden="1" x14ac:dyDescent="0.25">
      <c r="A132">
        <v>1131</v>
      </c>
      <c r="B132" t="s">
        <v>38</v>
      </c>
      <c r="C132" t="s">
        <v>24</v>
      </c>
      <c r="D132" s="2">
        <v>45814</v>
      </c>
      <c r="E132" t="s">
        <v>35</v>
      </c>
      <c r="F132" t="s">
        <v>15</v>
      </c>
      <c r="G132">
        <v>35</v>
      </c>
      <c r="H132">
        <v>35</v>
      </c>
      <c r="I132">
        <v>8.6999999999999993</v>
      </c>
      <c r="J132">
        <v>2</v>
      </c>
      <c r="K132" t="s">
        <v>21</v>
      </c>
      <c r="L132" t="s">
        <v>26</v>
      </c>
    </row>
    <row r="133" spans="1:12" hidden="1" x14ac:dyDescent="0.25">
      <c r="A133">
        <v>1132</v>
      </c>
      <c r="B133" t="s">
        <v>40</v>
      </c>
      <c r="C133" t="s">
        <v>13</v>
      </c>
      <c r="D133" s="2">
        <v>45795</v>
      </c>
      <c r="E133" t="s">
        <v>14</v>
      </c>
      <c r="F133" t="s">
        <v>20</v>
      </c>
      <c r="G133">
        <v>32</v>
      </c>
      <c r="H133">
        <v>26</v>
      </c>
      <c r="I133">
        <v>8.1999999999999993</v>
      </c>
      <c r="J133">
        <v>4</v>
      </c>
      <c r="K133" t="s">
        <v>21</v>
      </c>
      <c r="L133" t="s">
        <v>22</v>
      </c>
    </row>
    <row r="134" spans="1:12" hidden="1" x14ac:dyDescent="0.25">
      <c r="A134">
        <v>1133</v>
      </c>
      <c r="B134" t="s">
        <v>23</v>
      </c>
      <c r="C134" t="s">
        <v>19</v>
      </c>
      <c r="D134" s="2">
        <v>45725</v>
      </c>
      <c r="E134" t="s">
        <v>27</v>
      </c>
      <c r="F134" t="s">
        <v>30</v>
      </c>
      <c r="G134">
        <v>56</v>
      </c>
      <c r="H134">
        <v>50</v>
      </c>
      <c r="I134">
        <v>3.6</v>
      </c>
      <c r="J134">
        <v>5</v>
      </c>
      <c r="K134" t="s">
        <v>31</v>
      </c>
      <c r="L134" t="s">
        <v>37</v>
      </c>
    </row>
    <row r="135" spans="1:12" hidden="1" x14ac:dyDescent="0.25">
      <c r="A135">
        <v>1134</v>
      </c>
      <c r="B135" t="s">
        <v>39</v>
      </c>
      <c r="C135" t="s">
        <v>19</v>
      </c>
      <c r="D135" s="2">
        <v>45658</v>
      </c>
      <c r="E135" t="s">
        <v>35</v>
      </c>
      <c r="F135" t="s">
        <v>15</v>
      </c>
      <c r="G135">
        <v>32</v>
      </c>
      <c r="H135">
        <v>26</v>
      </c>
      <c r="I135">
        <v>7.9</v>
      </c>
      <c r="J135">
        <v>3</v>
      </c>
      <c r="K135" t="s">
        <v>21</v>
      </c>
      <c r="L135" t="s">
        <v>17</v>
      </c>
    </row>
    <row r="136" spans="1:12" hidden="1" x14ac:dyDescent="0.25">
      <c r="A136">
        <v>1135</v>
      </c>
      <c r="B136" t="s">
        <v>23</v>
      </c>
      <c r="C136" t="s">
        <v>19</v>
      </c>
      <c r="D136" s="2">
        <v>45780</v>
      </c>
      <c r="E136" t="s">
        <v>14</v>
      </c>
      <c r="F136" t="s">
        <v>15</v>
      </c>
      <c r="G136">
        <v>60</v>
      </c>
      <c r="H136">
        <v>58</v>
      </c>
      <c r="I136">
        <v>4.0999999999999996</v>
      </c>
      <c r="J136">
        <v>3</v>
      </c>
      <c r="K136" t="s">
        <v>28</v>
      </c>
      <c r="L136" t="s">
        <v>17</v>
      </c>
    </row>
    <row r="137" spans="1:12" hidden="1" x14ac:dyDescent="0.25">
      <c r="A137">
        <v>1136</v>
      </c>
      <c r="B137" t="s">
        <v>23</v>
      </c>
      <c r="C137" t="s">
        <v>19</v>
      </c>
      <c r="D137" s="2">
        <v>45744</v>
      </c>
      <c r="E137" t="s">
        <v>27</v>
      </c>
      <c r="F137" t="s">
        <v>30</v>
      </c>
      <c r="G137">
        <v>31</v>
      </c>
      <c r="H137">
        <v>30</v>
      </c>
      <c r="I137">
        <v>7.4</v>
      </c>
      <c r="J137">
        <v>2</v>
      </c>
      <c r="K137" t="s">
        <v>21</v>
      </c>
      <c r="L137" t="s">
        <v>37</v>
      </c>
    </row>
    <row r="138" spans="1:12" hidden="1" x14ac:dyDescent="0.25">
      <c r="A138">
        <v>1137</v>
      </c>
      <c r="B138" t="s">
        <v>40</v>
      </c>
      <c r="C138" t="s">
        <v>24</v>
      </c>
      <c r="D138" s="2">
        <v>45777</v>
      </c>
      <c r="E138" t="s">
        <v>35</v>
      </c>
      <c r="F138" t="s">
        <v>15</v>
      </c>
      <c r="G138">
        <v>39</v>
      </c>
      <c r="H138">
        <v>39</v>
      </c>
      <c r="I138">
        <v>8.1999999999999993</v>
      </c>
      <c r="J138">
        <v>2</v>
      </c>
      <c r="K138" t="s">
        <v>21</v>
      </c>
      <c r="L138" t="s">
        <v>22</v>
      </c>
    </row>
    <row r="139" spans="1:12" hidden="1" x14ac:dyDescent="0.25">
      <c r="A139">
        <v>1138</v>
      </c>
      <c r="B139" t="s">
        <v>38</v>
      </c>
      <c r="C139" t="s">
        <v>19</v>
      </c>
      <c r="D139" s="2">
        <v>45768</v>
      </c>
      <c r="E139" t="s">
        <v>35</v>
      </c>
      <c r="F139" t="s">
        <v>15</v>
      </c>
      <c r="G139">
        <v>30</v>
      </c>
      <c r="H139">
        <v>25</v>
      </c>
      <c r="I139">
        <v>4.5</v>
      </c>
      <c r="J139">
        <v>2</v>
      </c>
      <c r="K139" t="s">
        <v>16</v>
      </c>
      <c r="L139" t="s">
        <v>33</v>
      </c>
    </row>
    <row r="140" spans="1:12" hidden="1" x14ac:dyDescent="0.25">
      <c r="A140">
        <v>1139</v>
      </c>
      <c r="B140" t="s">
        <v>32</v>
      </c>
      <c r="C140" t="s">
        <v>19</v>
      </c>
      <c r="D140" s="2">
        <v>45684</v>
      </c>
      <c r="E140" t="s">
        <v>35</v>
      </c>
      <c r="F140" t="s">
        <v>15</v>
      </c>
      <c r="G140">
        <v>51</v>
      </c>
      <c r="H140">
        <v>47</v>
      </c>
      <c r="I140">
        <v>4.5</v>
      </c>
      <c r="J140">
        <v>4</v>
      </c>
      <c r="K140" t="s">
        <v>31</v>
      </c>
      <c r="L140" t="s">
        <v>33</v>
      </c>
    </row>
    <row r="141" spans="1:12" hidden="1" x14ac:dyDescent="0.25">
      <c r="A141">
        <v>1140</v>
      </c>
      <c r="B141" t="s">
        <v>18</v>
      </c>
      <c r="C141" t="s">
        <v>19</v>
      </c>
      <c r="D141" s="2">
        <v>45741</v>
      </c>
      <c r="E141" t="s">
        <v>27</v>
      </c>
      <c r="F141" t="s">
        <v>20</v>
      </c>
      <c r="G141">
        <v>55</v>
      </c>
      <c r="H141">
        <v>55</v>
      </c>
      <c r="I141">
        <v>7.3</v>
      </c>
      <c r="J141">
        <v>3</v>
      </c>
      <c r="K141" t="s">
        <v>21</v>
      </c>
      <c r="L141" t="s">
        <v>22</v>
      </c>
    </row>
    <row r="142" spans="1:12" hidden="1" x14ac:dyDescent="0.25">
      <c r="A142">
        <v>1141</v>
      </c>
      <c r="B142" t="s">
        <v>38</v>
      </c>
      <c r="C142" t="s">
        <v>24</v>
      </c>
      <c r="D142" s="2">
        <v>45669</v>
      </c>
      <c r="E142" t="s">
        <v>35</v>
      </c>
      <c r="F142" t="s">
        <v>30</v>
      </c>
      <c r="G142">
        <v>28</v>
      </c>
      <c r="H142">
        <v>25</v>
      </c>
      <c r="I142">
        <v>4.4000000000000004</v>
      </c>
      <c r="J142">
        <v>2</v>
      </c>
      <c r="K142" t="s">
        <v>16</v>
      </c>
      <c r="L142" t="s">
        <v>22</v>
      </c>
    </row>
    <row r="143" spans="1:12" hidden="1" x14ac:dyDescent="0.25">
      <c r="A143">
        <v>1142</v>
      </c>
      <c r="B143" t="s">
        <v>29</v>
      </c>
      <c r="C143" t="s">
        <v>24</v>
      </c>
      <c r="D143" s="2">
        <v>45668</v>
      </c>
      <c r="E143" t="s">
        <v>14</v>
      </c>
      <c r="F143" t="s">
        <v>30</v>
      </c>
      <c r="G143">
        <v>48</v>
      </c>
      <c r="H143">
        <v>46</v>
      </c>
      <c r="I143">
        <v>8.6999999999999993</v>
      </c>
      <c r="J143">
        <v>4</v>
      </c>
      <c r="K143" t="s">
        <v>16</v>
      </c>
      <c r="L143" t="s">
        <v>33</v>
      </c>
    </row>
    <row r="144" spans="1:12" x14ac:dyDescent="0.25">
      <c r="A144">
        <v>1143</v>
      </c>
      <c r="B144" t="s">
        <v>23</v>
      </c>
      <c r="C144" t="s">
        <v>13</v>
      </c>
      <c r="D144" s="2">
        <v>45739</v>
      </c>
      <c r="E144" t="s">
        <v>14</v>
      </c>
      <c r="F144" t="s">
        <v>25</v>
      </c>
      <c r="G144">
        <v>57</v>
      </c>
      <c r="H144">
        <v>57</v>
      </c>
      <c r="I144">
        <v>9.4</v>
      </c>
      <c r="J144">
        <v>3</v>
      </c>
      <c r="K144" t="s">
        <v>16</v>
      </c>
      <c r="L144" t="s">
        <v>22</v>
      </c>
    </row>
    <row r="145" spans="1:12" hidden="1" x14ac:dyDescent="0.25">
      <c r="A145">
        <v>1144</v>
      </c>
      <c r="B145" t="s">
        <v>23</v>
      </c>
      <c r="C145" t="s">
        <v>13</v>
      </c>
      <c r="D145" s="2">
        <v>45825</v>
      </c>
      <c r="E145" t="s">
        <v>27</v>
      </c>
      <c r="F145" t="s">
        <v>15</v>
      </c>
      <c r="G145">
        <v>32</v>
      </c>
      <c r="H145">
        <v>30</v>
      </c>
      <c r="I145">
        <v>5.6</v>
      </c>
      <c r="J145">
        <v>1</v>
      </c>
      <c r="K145" t="s">
        <v>16</v>
      </c>
      <c r="L145" t="s">
        <v>26</v>
      </c>
    </row>
    <row r="146" spans="1:12" hidden="1" x14ac:dyDescent="0.25">
      <c r="A146">
        <v>1145</v>
      </c>
      <c r="B146" t="s">
        <v>29</v>
      </c>
      <c r="C146" t="s">
        <v>13</v>
      </c>
      <c r="D146" s="2">
        <v>45760</v>
      </c>
      <c r="E146" t="s">
        <v>14</v>
      </c>
      <c r="F146" t="s">
        <v>15</v>
      </c>
      <c r="G146">
        <v>36</v>
      </c>
      <c r="H146">
        <v>31</v>
      </c>
      <c r="I146">
        <v>8.9</v>
      </c>
      <c r="J146">
        <v>1</v>
      </c>
      <c r="K146" t="s">
        <v>16</v>
      </c>
      <c r="L146" t="s">
        <v>37</v>
      </c>
    </row>
    <row r="147" spans="1:12" x14ac:dyDescent="0.25">
      <c r="A147">
        <v>1146</v>
      </c>
      <c r="B147" t="s">
        <v>34</v>
      </c>
      <c r="C147" t="s">
        <v>19</v>
      </c>
      <c r="D147" s="2">
        <v>45681</v>
      </c>
      <c r="E147" t="s">
        <v>27</v>
      </c>
      <c r="F147" t="s">
        <v>25</v>
      </c>
      <c r="G147">
        <v>57</v>
      </c>
      <c r="H147">
        <v>54</v>
      </c>
      <c r="I147">
        <v>8.1999999999999993</v>
      </c>
      <c r="J147">
        <v>5</v>
      </c>
      <c r="K147" t="s">
        <v>28</v>
      </c>
      <c r="L147" t="s">
        <v>17</v>
      </c>
    </row>
    <row r="148" spans="1:12" hidden="1" x14ac:dyDescent="0.25">
      <c r="A148">
        <v>1147</v>
      </c>
      <c r="B148" t="s">
        <v>38</v>
      </c>
      <c r="C148" t="s">
        <v>13</v>
      </c>
      <c r="D148" s="2">
        <v>45698</v>
      </c>
      <c r="E148" t="s">
        <v>27</v>
      </c>
      <c r="F148" t="s">
        <v>20</v>
      </c>
      <c r="G148">
        <v>44</v>
      </c>
      <c r="H148">
        <v>38</v>
      </c>
      <c r="I148">
        <v>7</v>
      </c>
      <c r="J148">
        <v>4</v>
      </c>
      <c r="K148" t="s">
        <v>28</v>
      </c>
      <c r="L148" t="s">
        <v>33</v>
      </c>
    </row>
    <row r="149" spans="1:12" hidden="1" x14ac:dyDescent="0.25">
      <c r="A149">
        <v>1148</v>
      </c>
      <c r="B149" t="s">
        <v>18</v>
      </c>
      <c r="C149" t="s">
        <v>13</v>
      </c>
      <c r="D149" s="2">
        <v>45834</v>
      </c>
      <c r="E149" t="s">
        <v>27</v>
      </c>
      <c r="F149" t="s">
        <v>30</v>
      </c>
      <c r="G149">
        <v>51</v>
      </c>
      <c r="H149">
        <v>47</v>
      </c>
      <c r="I149">
        <v>6.8</v>
      </c>
      <c r="J149">
        <v>2</v>
      </c>
      <c r="K149" t="s">
        <v>31</v>
      </c>
      <c r="L149" t="s">
        <v>26</v>
      </c>
    </row>
    <row r="150" spans="1:12" hidden="1" x14ac:dyDescent="0.25">
      <c r="A150">
        <v>1149</v>
      </c>
      <c r="B150" t="s">
        <v>18</v>
      </c>
      <c r="C150" t="s">
        <v>13</v>
      </c>
      <c r="D150" s="2">
        <v>45779</v>
      </c>
      <c r="E150" t="s">
        <v>35</v>
      </c>
      <c r="F150" t="s">
        <v>30</v>
      </c>
      <c r="G150">
        <v>36</v>
      </c>
      <c r="H150">
        <v>36</v>
      </c>
      <c r="I150">
        <v>6.5</v>
      </c>
      <c r="J150">
        <v>1</v>
      </c>
      <c r="K150" t="s">
        <v>31</v>
      </c>
      <c r="L150" t="s">
        <v>22</v>
      </c>
    </row>
    <row r="151" spans="1:12" hidden="1" x14ac:dyDescent="0.25">
      <c r="A151">
        <v>1150</v>
      </c>
      <c r="B151" t="s">
        <v>36</v>
      </c>
      <c r="C151" t="s">
        <v>24</v>
      </c>
      <c r="D151" s="2">
        <v>45777</v>
      </c>
      <c r="E151" t="s">
        <v>27</v>
      </c>
      <c r="F151" t="s">
        <v>20</v>
      </c>
      <c r="G151">
        <v>25</v>
      </c>
      <c r="H151">
        <v>22</v>
      </c>
      <c r="I151">
        <v>6.3</v>
      </c>
      <c r="J151">
        <v>4</v>
      </c>
      <c r="K151" t="s">
        <v>21</v>
      </c>
      <c r="L151" t="s">
        <v>37</v>
      </c>
    </row>
    <row r="152" spans="1:12" hidden="1" x14ac:dyDescent="0.25">
      <c r="A152">
        <v>1151</v>
      </c>
      <c r="B152" t="s">
        <v>38</v>
      </c>
      <c r="C152" t="s">
        <v>24</v>
      </c>
      <c r="D152" s="2">
        <v>45683</v>
      </c>
      <c r="E152" t="s">
        <v>14</v>
      </c>
      <c r="F152" t="s">
        <v>15</v>
      </c>
      <c r="G152">
        <v>48</v>
      </c>
      <c r="H152">
        <v>47</v>
      </c>
      <c r="I152">
        <v>8.6999999999999993</v>
      </c>
      <c r="J152">
        <v>4</v>
      </c>
      <c r="K152" t="s">
        <v>16</v>
      </c>
      <c r="L152" t="s">
        <v>33</v>
      </c>
    </row>
    <row r="153" spans="1:12" x14ac:dyDescent="0.25">
      <c r="A153">
        <v>1152</v>
      </c>
      <c r="B153" t="s">
        <v>40</v>
      </c>
      <c r="C153" t="s">
        <v>19</v>
      </c>
      <c r="D153" s="2">
        <v>45733</v>
      </c>
      <c r="E153" t="s">
        <v>27</v>
      </c>
      <c r="F153" t="s">
        <v>25</v>
      </c>
      <c r="G153">
        <v>46</v>
      </c>
      <c r="H153">
        <v>42</v>
      </c>
      <c r="I153">
        <v>5.9</v>
      </c>
      <c r="J153">
        <v>2</v>
      </c>
      <c r="K153" t="s">
        <v>16</v>
      </c>
      <c r="L153" t="s">
        <v>37</v>
      </c>
    </row>
    <row r="154" spans="1:12" hidden="1" x14ac:dyDescent="0.25">
      <c r="A154">
        <v>1153</v>
      </c>
      <c r="B154" t="s">
        <v>38</v>
      </c>
      <c r="C154" t="s">
        <v>19</v>
      </c>
      <c r="D154" s="2">
        <v>45806</v>
      </c>
      <c r="E154" t="s">
        <v>14</v>
      </c>
      <c r="F154" t="s">
        <v>30</v>
      </c>
      <c r="G154">
        <v>32</v>
      </c>
      <c r="H154">
        <v>31</v>
      </c>
      <c r="I154">
        <v>8.5</v>
      </c>
      <c r="J154">
        <v>2</v>
      </c>
      <c r="K154" t="s">
        <v>31</v>
      </c>
      <c r="L154" t="s">
        <v>33</v>
      </c>
    </row>
    <row r="155" spans="1:12" x14ac:dyDescent="0.25">
      <c r="A155">
        <v>1154</v>
      </c>
      <c r="B155" t="s">
        <v>38</v>
      </c>
      <c r="C155" t="s">
        <v>24</v>
      </c>
      <c r="D155" s="2">
        <v>45678</v>
      </c>
      <c r="E155" t="s">
        <v>27</v>
      </c>
      <c r="F155" t="s">
        <v>25</v>
      </c>
      <c r="G155">
        <v>44</v>
      </c>
      <c r="H155">
        <v>42</v>
      </c>
      <c r="I155">
        <v>8.9</v>
      </c>
      <c r="J155">
        <v>4</v>
      </c>
      <c r="K155" t="s">
        <v>16</v>
      </c>
      <c r="L155" t="s">
        <v>37</v>
      </c>
    </row>
    <row r="156" spans="1:12" hidden="1" x14ac:dyDescent="0.25">
      <c r="A156">
        <v>1155</v>
      </c>
      <c r="B156" t="s">
        <v>12</v>
      </c>
      <c r="C156" t="s">
        <v>13</v>
      </c>
      <c r="D156" s="2">
        <v>45780</v>
      </c>
      <c r="E156" t="s">
        <v>14</v>
      </c>
      <c r="F156" t="s">
        <v>30</v>
      </c>
      <c r="G156">
        <v>31</v>
      </c>
      <c r="H156">
        <v>31</v>
      </c>
      <c r="I156">
        <v>3.6</v>
      </c>
      <c r="J156">
        <v>2</v>
      </c>
      <c r="K156" t="s">
        <v>16</v>
      </c>
      <c r="L156" t="s">
        <v>17</v>
      </c>
    </row>
    <row r="157" spans="1:12" hidden="1" x14ac:dyDescent="0.25">
      <c r="A157">
        <v>1156</v>
      </c>
      <c r="B157" t="s">
        <v>12</v>
      </c>
      <c r="C157" t="s">
        <v>19</v>
      </c>
      <c r="D157" s="2">
        <v>45824</v>
      </c>
      <c r="E157" t="s">
        <v>35</v>
      </c>
      <c r="F157" t="s">
        <v>20</v>
      </c>
      <c r="G157">
        <v>45</v>
      </c>
      <c r="H157">
        <v>41</v>
      </c>
      <c r="I157">
        <v>4.2</v>
      </c>
      <c r="J157">
        <v>5</v>
      </c>
      <c r="K157" t="s">
        <v>28</v>
      </c>
      <c r="L157" t="s">
        <v>26</v>
      </c>
    </row>
    <row r="158" spans="1:12" hidden="1" x14ac:dyDescent="0.25">
      <c r="A158">
        <v>1157</v>
      </c>
      <c r="B158" t="s">
        <v>39</v>
      </c>
      <c r="C158" t="s">
        <v>13</v>
      </c>
      <c r="D158" s="2">
        <v>45714</v>
      </c>
      <c r="E158" t="s">
        <v>14</v>
      </c>
      <c r="F158" t="s">
        <v>30</v>
      </c>
      <c r="G158">
        <v>26</v>
      </c>
      <c r="H158">
        <v>20</v>
      </c>
      <c r="I158">
        <v>10</v>
      </c>
      <c r="J158">
        <v>2</v>
      </c>
      <c r="K158" t="s">
        <v>21</v>
      </c>
      <c r="L158" t="s">
        <v>17</v>
      </c>
    </row>
    <row r="159" spans="1:12" hidden="1" x14ac:dyDescent="0.25">
      <c r="A159">
        <v>1158</v>
      </c>
      <c r="B159" t="s">
        <v>32</v>
      </c>
      <c r="C159" t="s">
        <v>24</v>
      </c>
      <c r="D159" s="2">
        <v>45736</v>
      </c>
      <c r="E159" t="s">
        <v>14</v>
      </c>
      <c r="F159" t="s">
        <v>20</v>
      </c>
      <c r="G159">
        <v>29</v>
      </c>
      <c r="H159">
        <v>25</v>
      </c>
      <c r="I159">
        <v>8.6999999999999993</v>
      </c>
      <c r="J159">
        <v>5</v>
      </c>
      <c r="K159" t="s">
        <v>31</v>
      </c>
      <c r="L159" t="s">
        <v>33</v>
      </c>
    </row>
    <row r="160" spans="1:12" hidden="1" x14ac:dyDescent="0.25">
      <c r="A160">
        <v>1159</v>
      </c>
      <c r="B160" t="s">
        <v>32</v>
      </c>
      <c r="C160" t="s">
        <v>24</v>
      </c>
      <c r="D160" s="2">
        <v>45815</v>
      </c>
      <c r="E160" t="s">
        <v>14</v>
      </c>
      <c r="F160" t="s">
        <v>30</v>
      </c>
      <c r="G160">
        <v>36</v>
      </c>
      <c r="H160">
        <v>33</v>
      </c>
      <c r="I160">
        <v>7.4</v>
      </c>
      <c r="J160">
        <v>3</v>
      </c>
      <c r="K160" t="s">
        <v>21</v>
      </c>
      <c r="L160" t="s">
        <v>37</v>
      </c>
    </row>
    <row r="161" spans="1:12" x14ac:dyDescent="0.25">
      <c r="A161">
        <v>1160</v>
      </c>
      <c r="B161" t="s">
        <v>12</v>
      </c>
      <c r="C161" t="s">
        <v>19</v>
      </c>
      <c r="D161" s="2">
        <v>45761</v>
      </c>
      <c r="E161" t="s">
        <v>35</v>
      </c>
      <c r="F161" t="s">
        <v>25</v>
      </c>
      <c r="G161">
        <v>27</v>
      </c>
      <c r="H161">
        <v>26</v>
      </c>
      <c r="I161">
        <v>6.4</v>
      </c>
      <c r="J161">
        <v>3</v>
      </c>
      <c r="K161" t="s">
        <v>21</v>
      </c>
      <c r="L161" t="s">
        <v>33</v>
      </c>
    </row>
    <row r="162" spans="1:12" hidden="1" x14ac:dyDescent="0.25">
      <c r="A162">
        <v>1161</v>
      </c>
      <c r="B162" t="s">
        <v>23</v>
      </c>
      <c r="C162" t="s">
        <v>13</v>
      </c>
      <c r="D162" s="2">
        <v>45684</v>
      </c>
      <c r="E162" t="s">
        <v>14</v>
      </c>
      <c r="F162" t="s">
        <v>30</v>
      </c>
      <c r="G162">
        <v>50</v>
      </c>
      <c r="H162">
        <v>50</v>
      </c>
      <c r="I162">
        <v>7.1</v>
      </c>
      <c r="J162">
        <v>2</v>
      </c>
      <c r="K162" t="s">
        <v>21</v>
      </c>
      <c r="L162" t="s">
        <v>37</v>
      </c>
    </row>
    <row r="163" spans="1:12" hidden="1" x14ac:dyDescent="0.25">
      <c r="A163">
        <v>1162</v>
      </c>
      <c r="B163" t="s">
        <v>34</v>
      </c>
      <c r="C163" t="s">
        <v>24</v>
      </c>
      <c r="D163" s="2">
        <v>45809</v>
      </c>
      <c r="E163" t="s">
        <v>27</v>
      </c>
      <c r="F163" t="s">
        <v>30</v>
      </c>
      <c r="G163">
        <v>49</v>
      </c>
      <c r="H163">
        <v>48</v>
      </c>
      <c r="I163">
        <v>6.7</v>
      </c>
      <c r="J163">
        <v>4</v>
      </c>
      <c r="K163" t="s">
        <v>21</v>
      </c>
      <c r="L163" t="s">
        <v>22</v>
      </c>
    </row>
    <row r="164" spans="1:12" hidden="1" x14ac:dyDescent="0.25">
      <c r="A164">
        <v>1163</v>
      </c>
      <c r="B164" t="s">
        <v>32</v>
      </c>
      <c r="C164" t="s">
        <v>13</v>
      </c>
      <c r="D164" s="2">
        <v>45730</v>
      </c>
      <c r="E164" t="s">
        <v>14</v>
      </c>
      <c r="F164" t="s">
        <v>20</v>
      </c>
      <c r="G164">
        <v>47</v>
      </c>
      <c r="H164">
        <v>46</v>
      </c>
      <c r="I164">
        <v>3.5</v>
      </c>
      <c r="J164">
        <v>2</v>
      </c>
      <c r="K164" t="s">
        <v>28</v>
      </c>
      <c r="L164" t="s">
        <v>33</v>
      </c>
    </row>
    <row r="165" spans="1:12" hidden="1" x14ac:dyDescent="0.25">
      <c r="A165">
        <v>1164</v>
      </c>
      <c r="B165" t="s">
        <v>36</v>
      </c>
      <c r="C165" t="s">
        <v>24</v>
      </c>
      <c r="D165" s="2">
        <v>45759</v>
      </c>
      <c r="E165" t="s">
        <v>27</v>
      </c>
      <c r="F165" t="s">
        <v>20</v>
      </c>
      <c r="G165">
        <v>49</v>
      </c>
      <c r="H165">
        <v>45</v>
      </c>
      <c r="I165">
        <v>6.6</v>
      </c>
      <c r="J165">
        <v>1</v>
      </c>
      <c r="K165" t="s">
        <v>21</v>
      </c>
      <c r="L165" t="s">
        <v>22</v>
      </c>
    </row>
    <row r="166" spans="1:12" x14ac:dyDescent="0.25">
      <c r="A166">
        <v>1165</v>
      </c>
      <c r="B166" t="s">
        <v>29</v>
      </c>
      <c r="C166" t="s">
        <v>19</v>
      </c>
      <c r="D166" s="2">
        <v>45797</v>
      </c>
      <c r="E166" t="s">
        <v>35</v>
      </c>
      <c r="F166" t="s">
        <v>25</v>
      </c>
      <c r="G166">
        <v>54</v>
      </c>
      <c r="H166">
        <v>54</v>
      </c>
      <c r="I166">
        <v>7.2</v>
      </c>
      <c r="J166">
        <v>4</v>
      </c>
      <c r="K166" t="s">
        <v>28</v>
      </c>
      <c r="L166" t="s">
        <v>26</v>
      </c>
    </row>
    <row r="167" spans="1:12" hidden="1" x14ac:dyDescent="0.25">
      <c r="A167">
        <v>1166</v>
      </c>
      <c r="B167" t="s">
        <v>34</v>
      </c>
      <c r="C167" t="s">
        <v>13</v>
      </c>
      <c r="D167" s="2">
        <v>45700</v>
      </c>
      <c r="E167" t="s">
        <v>14</v>
      </c>
      <c r="F167" t="s">
        <v>15</v>
      </c>
      <c r="G167">
        <v>56</v>
      </c>
      <c r="H167">
        <v>54</v>
      </c>
      <c r="I167">
        <v>8.4</v>
      </c>
      <c r="J167">
        <v>4</v>
      </c>
      <c r="K167" t="s">
        <v>21</v>
      </c>
      <c r="L167" t="s">
        <v>17</v>
      </c>
    </row>
    <row r="168" spans="1:12" hidden="1" x14ac:dyDescent="0.25">
      <c r="A168">
        <v>1167</v>
      </c>
      <c r="B168" t="s">
        <v>32</v>
      </c>
      <c r="C168" t="s">
        <v>24</v>
      </c>
      <c r="D168" s="2">
        <v>45834</v>
      </c>
      <c r="E168" t="s">
        <v>35</v>
      </c>
      <c r="F168" t="s">
        <v>30</v>
      </c>
      <c r="G168">
        <v>40</v>
      </c>
      <c r="H168">
        <v>35</v>
      </c>
      <c r="I168">
        <v>4.8</v>
      </c>
      <c r="J168">
        <v>2</v>
      </c>
      <c r="K168" t="s">
        <v>28</v>
      </c>
      <c r="L168" t="s">
        <v>22</v>
      </c>
    </row>
    <row r="169" spans="1:12" hidden="1" x14ac:dyDescent="0.25">
      <c r="A169">
        <v>1168</v>
      </c>
      <c r="B169" t="s">
        <v>29</v>
      </c>
      <c r="C169" t="s">
        <v>24</v>
      </c>
      <c r="D169" s="2">
        <v>45792</v>
      </c>
      <c r="E169" t="s">
        <v>27</v>
      </c>
      <c r="F169" t="s">
        <v>15</v>
      </c>
      <c r="G169">
        <v>40</v>
      </c>
      <c r="H169">
        <v>39</v>
      </c>
      <c r="I169">
        <v>7.5</v>
      </c>
      <c r="J169">
        <v>2</v>
      </c>
      <c r="K169" t="s">
        <v>16</v>
      </c>
      <c r="L169" t="s">
        <v>33</v>
      </c>
    </row>
    <row r="170" spans="1:12" hidden="1" x14ac:dyDescent="0.25">
      <c r="A170">
        <v>1169</v>
      </c>
      <c r="B170" t="s">
        <v>23</v>
      </c>
      <c r="C170" t="s">
        <v>19</v>
      </c>
      <c r="D170" s="2">
        <v>45826</v>
      </c>
      <c r="E170" t="s">
        <v>35</v>
      </c>
      <c r="F170" t="s">
        <v>20</v>
      </c>
      <c r="G170">
        <v>39</v>
      </c>
      <c r="H170">
        <v>34</v>
      </c>
      <c r="I170">
        <v>7.3</v>
      </c>
      <c r="J170">
        <v>5</v>
      </c>
      <c r="K170" t="s">
        <v>31</v>
      </c>
      <c r="L170" t="s">
        <v>37</v>
      </c>
    </row>
    <row r="171" spans="1:12" hidden="1" x14ac:dyDescent="0.25">
      <c r="A171">
        <v>1170</v>
      </c>
      <c r="B171" t="s">
        <v>32</v>
      </c>
      <c r="C171" t="s">
        <v>13</v>
      </c>
      <c r="D171" s="2">
        <v>45689</v>
      </c>
      <c r="E171" t="s">
        <v>35</v>
      </c>
      <c r="F171" t="s">
        <v>20</v>
      </c>
      <c r="G171">
        <v>48</v>
      </c>
      <c r="H171">
        <v>45</v>
      </c>
      <c r="I171">
        <v>4.2</v>
      </c>
      <c r="J171">
        <v>5</v>
      </c>
      <c r="K171" t="s">
        <v>28</v>
      </c>
      <c r="L171" t="s">
        <v>26</v>
      </c>
    </row>
    <row r="172" spans="1:12" hidden="1" x14ac:dyDescent="0.25">
      <c r="A172">
        <v>1171</v>
      </c>
      <c r="B172" t="s">
        <v>18</v>
      </c>
      <c r="C172" t="s">
        <v>19</v>
      </c>
      <c r="D172" s="2">
        <v>45717</v>
      </c>
      <c r="E172" t="s">
        <v>27</v>
      </c>
      <c r="F172" t="s">
        <v>15</v>
      </c>
      <c r="G172">
        <v>50</v>
      </c>
      <c r="H172">
        <v>47</v>
      </c>
      <c r="I172">
        <v>4.9000000000000004</v>
      </c>
      <c r="J172">
        <v>2</v>
      </c>
      <c r="K172" t="s">
        <v>16</v>
      </c>
      <c r="L172" t="s">
        <v>26</v>
      </c>
    </row>
    <row r="173" spans="1:12" x14ac:dyDescent="0.25">
      <c r="A173">
        <v>1172</v>
      </c>
      <c r="B173" t="s">
        <v>12</v>
      </c>
      <c r="C173" t="s">
        <v>24</v>
      </c>
      <c r="D173" s="2">
        <v>45815</v>
      </c>
      <c r="E173" t="s">
        <v>14</v>
      </c>
      <c r="F173" t="s">
        <v>25</v>
      </c>
      <c r="G173">
        <v>49</v>
      </c>
      <c r="H173">
        <v>45</v>
      </c>
      <c r="I173">
        <v>8.1999999999999993</v>
      </c>
      <c r="J173">
        <v>2</v>
      </c>
      <c r="K173" t="s">
        <v>16</v>
      </c>
      <c r="L173" t="s">
        <v>33</v>
      </c>
    </row>
    <row r="174" spans="1:12" hidden="1" x14ac:dyDescent="0.25">
      <c r="A174">
        <v>1173</v>
      </c>
      <c r="B174" t="s">
        <v>40</v>
      </c>
      <c r="C174" t="s">
        <v>19</v>
      </c>
      <c r="D174" s="2">
        <v>45750</v>
      </c>
      <c r="E174" t="s">
        <v>27</v>
      </c>
      <c r="F174" t="s">
        <v>30</v>
      </c>
      <c r="G174">
        <v>56</v>
      </c>
      <c r="H174">
        <v>55</v>
      </c>
      <c r="I174">
        <v>9.6999999999999993</v>
      </c>
      <c r="J174">
        <v>3</v>
      </c>
      <c r="K174" t="s">
        <v>28</v>
      </c>
      <c r="L174" t="s">
        <v>33</v>
      </c>
    </row>
    <row r="175" spans="1:12" hidden="1" x14ac:dyDescent="0.25">
      <c r="A175">
        <v>1174</v>
      </c>
      <c r="B175" t="s">
        <v>34</v>
      </c>
      <c r="C175" t="s">
        <v>24</v>
      </c>
      <c r="D175" s="2">
        <v>45689</v>
      </c>
      <c r="E175" t="s">
        <v>35</v>
      </c>
      <c r="F175" t="s">
        <v>15</v>
      </c>
      <c r="G175">
        <v>32</v>
      </c>
      <c r="H175">
        <v>29</v>
      </c>
      <c r="I175">
        <v>6.9</v>
      </c>
      <c r="J175">
        <v>2</v>
      </c>
      <c r="K175" t="s">
        <v>21</v>
      </c>
      <c r="L175" t="s">
        <v>37</v>
      </c>
    </row>
    <row r="176" spans="1:12" hidden="1" x14ac:dyDescent="0.25">
      <c r="A176">
        <v>1175</v>
      </c>
      <c r="B176" t="s">
        <v>18</v>
      </c>
      <c r="C176" t="s">
        <v>19</v>
      </c>
      <c r="D176" s="2">
        <v>45717</v>
      </c>
      <c r="E176" t="s">
        <v>35</v>
      </c>
      <c r="F176" t="s">
        <v>15</v>
      </c>
      <c r="G176">
        <v>32</v>
      </c>
      <c r="H176">
        <v>27</v>
      </c>
      <c r="I176">
        <v>4.7</v>
      </c>
      <c r="J176">
        <v>4</v>
      </c>
      <c r="K176" t="s">
        <v>21</v>
      </c>
      <c r="L176" t="s">
        <v>22</v>
      </c>
    </row>
    <row r="177" spans="1:12" x14ac:dyDescent="0.25">
      <c r="A177">
        <v>1176</v>
      </c>
      <c r="B177" t="s">
        <v>29</v>
      </c>
      <c r="C177" t="s">
        <v>19</v>
      </c>
      <c r="D177" s="2">
        <v>45834</v>
      </c>
      <c r="E177" t="s">
        <v>14</v>
      </c>
      <c r="F177" t="s">
        <v>25</v>
      </c>
      <c r="G177">
        <v>32</v>
      </c>
      <c r="H177">
        <v>26</v>
      </c>
      <c r="I177">
        <v>8.8000000000000007</v>
      </c>
      <c r="J177">
        <v>4</v>
      </c>
      <c r="K177" t="s">
        <v>28</v>
      </c>
      <c r="L177" t="s">
        <v>22</v>
      </c>
    </row>
    <row r="178" spans="1:12" x14ac:dyDescent="0.25">
      <c r="A178">
        <v>1177</v>
      </c>
      <c r="B178" t="s">
        <v>36</v>
      </c>
      <c r="C178" t="s">
        <v>13</v>
      </c>
      <c r="D178" s="2">
        <v>45700</v>
      </c>
      <c r="E178" t="s">
        <v>27</v>
      </c>
      <c r="F178" t="s">
        <v>25</v>
      </c>
      <c r="G178">
        <v>45</v>
      </c>
      <c r="H178">
        <v>40</v>
      </c>
      <c r="I178">
        <v>3.6</v>
      </c>
      <c r="J178">
        <v>3</v>
      </c>
      <c r="K178" t="s">
        <v>28</v>
      </c>
      <c r="L178" t="s">
        <v>22</v>
      </c>
    </row>
    <row r="179" spans="1:12" hidden="1" x14ac:dyDescent="0.25">
      <c r="A179">
        <v>1178</v>
      </c>
      <c r="B179" t="s">
        <v>29</v>
      </c>
      <c r="C179" t="s">
        <v>13</v>
      </c>
      <c r="D179" s="2">
        <v>45774</v>
      </c>
      <c r="E179" t="s">
        <v>27</v>
      </c>
      <c r="F179" t="s">
        <v>20</v>
      </c>
      <c r="G179">
        <v>58</v>
      </c>
      <c r="H179">
        <v>57</v>
      </c>
      <c r="I179">
        <v>6.6</v>
      </c>
      <c r="J179">
        <v>3</v>
      </c>
      <c r="K179" t="s">
        <v>31</v>
      </c>
      <c r="L179" t="s">
        <v>26</v>
      </c>
    </row>
    <row r="180" spans="1:12" x14ac:dyDescent="0.25">
      <c r="A180">
        <v>1179</v>
      </c>
      <c r="B180" t="s">
        <v>34</v>
      </c>
      <c r="C180" t="s">
        <v>24</v>
      </c>
      <c r="D180" s="2">
        <v>45774</v>
      </c>
      <c r="E180" t="s">
        <v>35</v>
      </c>
      <c r="F180" t="s">
        <v>25</v>
      </c>
      <c r="G180">
        <v>31</v>
      </c>
      <c r="H180">
        <v>28</v>
      </c>
      <c r="I180">
        <v>9.1999999999999993</v>
      </c>
      <c r="J180">
        <v>2</v>
      </c>
      <c r="K180" t="s">
        <v>16</v>
      </c>
      <c r="L180" t="s">
        <v>22</v>
      </c>
    </row>
    <row r="181" spans="1:12" hidden="1" x14ac:dyDescent="0.25">
      <c r="A181">
        <v>1180</v>
      </c>
      <c r="B181" t="s">
        <v>40</v>
      </c>
      <c r="C181" t="s">
        <v>19</v>
      </c>
      <c r="D181" s="2">
        <v>45741</v>
      </c>
      <c r="E181" t="s">
        <v>14</v>
      </c>
      <c r="F181" t="s">
        <v>20</v>
      </c>
      <c r="G181">
        <v>47</v>
      </c>
      <c r="H181">
        <v>46</v>
      </c>
      <c r="I181">
        <v>9.3000000000000007</v>
      </c>
      <c r="J181">
        <v>5</v>
      </c>
      <c r="K181" t="s">
        <v>21</v>
      </c>
      <c r="L181" t="s">
        <v>26</v>
      </c>
    </row>
    <row r="182" spans="1:12" hidden="1" x14ac:dyDescent="0.25">
      <c r="A182">
        <v>1181</v>
      </c>
      <c r="B182" t="s">
        <v>18</v>
      </c>
      <c r="C182" t="s">
        <v>24</v>
      </c>
      <c r="D182" s="2">
        <v>45806</v>
      </c>
      <c r="E182" t="s">
        <v>14</v>
      </c>
      <c r="F182" t="s">
        <v>20</v>
      </c>
      <c r="G182">
        <v>56</v>
      </c>
      <c r="H182">
        <v>54</v>
      </c>
      <c r="I182">
        <v>7</v>
      </c>
      <c r="J182">
        <v>3</v>
      </c>
      <c r="K182" t="s">
        <v>21</v>
      </c>
      <c r="L182" t="s">
        <v>33</v>
      </c>
    </row>
    <row r="183" spans="1:12" hidden="1" x14ac:dyDescent="0.25">
      <c r="A183">
        <v>1182</v>
      </c>
      <c r="B183" t="s">
        <v>32</v>
      </c>
      <c r="C183" t="s">
        <v>13</v>
      </c>
      <c r="D183" s="2">
        <v>45681</v>
      </c>
      <c r="E183" t="s">
        <v>27</v>
      </c>
      <c r="F183" t="s">
        <v>15</v>
      </c>
      <c r="G183">
        <v>55</v>
      </c>
      <c r="H183">
        <v>52</v>
      </c>
      <c r="I183">
        <v>9.4</v>
      </c>
      <c r="J183">
        <v>1</v>
      </c>
      <c r="K183" t="s">
        <v>21</v>
      </c>
      <c r="L183" t="s">
        <v>22</v>
      </c>
    </row>
    <row r="184" spans="1:12" x14ac:dyDescent="0.25">
      <c r="A184">
        <v>1183</v>
      </c>
      <c r="B184" t="s">
        <v>39</v>
      </c>
      <c r="C184" t="s">
        <v>19</v>
      </c>
      <c r="D184" s="2">
        <v>45694</v>
      </c>
      <c r="E184" t="s">
        <v>27</v>
      </c>
      <c r="F184" t="s">
        <v>25</v>
      </c>
      <c r="G184">
        <v>38</v>
      </c>
      <c r="H184">
        <v>37</v>
      </c>
      <c r="I184">
        <v>8.6999999999999993</v>
      </c>
      <c r="J184">
        <v>3</v>
      </c>
      <c r="K184" t="s">
        <v>28</v>
      </c>
      <c r="L184" t="s">
        <v>33</v>
      </c>
    </row>
    <row r="185" spans="1:12" hidden="1" x14ac:dyDescent="0.25">
      <c r="A185">
        <v>1184</v>
      </c>
      <c r="B185" t="s">
        <v>39</v>
      </c>
      <c r="C185" t="s">
        <v>19</v>
      </c>
      <c r="D185" s="2">
        <v>45788</v>
      </c>
      <c r="E185" t="s">
        <v>35</v>
      </c>
      <c r="F185" t="s">
        <v>15</v>
      </c>
      <c r="G185">
        <v>37</v>
      </c>
      <c r="H185">
        <v>34</v>
      </c>
      <c r="I185">
        <v>7.9</v>
      </c>
      <c r="J185">
        <v>4</v>
      </c>
      <c r="K185" t="s">
        <v>28</v>
      </c>
      <c r="L185" t="s">
        <v>17</v>
      </c>
    </row>
    <row r="186" spans="1:12" x14ac:dyDescent="0.25">
      <c r="A186">
        <v>1185</v>
      </c>
      <c r="B186" t="s">
        <v>39</v>
      </c>
      <c r="C186" t="s">
        <v>13</v>
      </c>
      <c r="D186" s="2">
        <v>45778</v>
      </c>
      <c r="E186" t="s">
        <v>27</v>
      </c>
      <c r="F186" t="s">
        <v>25</v>
      </c>
      <c r="G186">
        <v>27</v>
      </c>
      <c r="H186">
        <v>27</v>
      </c>
      <c r="I186">
        <v>4.5999999999999996</v>
      </c>
      <c r="J186">
        <v>3</v>
      </c>
      <c r="K186" t="s">
        <v>31</v>
      </c>
      <c r="L186" t="s">
        <v>17</v>
      </c>
    </row>
    <row r="187" spans="1:12" hidden="1" x14ac:dyDescent="0.25">
      <c r="A187">
        <v>1186</v>
      </c>
      <c r="B187" t="s">
        <v>29</v>
      </c>
      <c r="C187" t="s">
        <v>24</v>
      </c>
      <c r="D187" s="2">
        <v>45735</v>
      </c>
      <c r="E187" t="s">
        <v>14</v>
      </c>
      <c r="F187" t="s">
        <v>20</v>
      </c>
      <c r="G187">
        <v>59</v>
      </c>
      <c r="H187">
        <v>55</v>
      </c>
      <c r="I187">
        <v>8.1999999999999993</v>
      </c>
      <c r="J187">
        <v>3</v>
      </c>
      <c r="K187" t="s">
        <v>31</v>
      </c>
      <c r="L187" t="s">
        <v>17</v>
      </c>
    </row>
    <row r="188" spans="1:12" hidden="1" x14ac:dyDescent="0.25">
      <c r="A188">
        <v>1187</v>
      </c>
      <c r="B188" t="s">
        <v>36</v>
      </c>
      <c r="C188" t="s">
        <v>24</v>
      </c>
      <c r="D188" s="2">
        <v>45803</v>
      </c>
      <c r="E188" t="s">
        <v>14</v>
      </c>
      <c r="F188" t="s">
        <v>20</v>
      </c>
      <c r="G188">
        <v>60</v>
      </c>
      <c r="H188">
        <v>60</v>
      </c>
      <c r="I188">
        <v>8.1999999999999993</v>
      </c>
      <c r="J188">
        <v>3</v>
      </c>
      <c r="K188" t="s">
        <v>28</v>
      </c>
      <c r="L188" t="s">
        <v>22</v>
      </c>
    </row>
    <row r="189" spans="1:12" hidden="1" x14ac:dyDescent="0.25">
      <c r="A189">
        <v>1188</v>
      </c>
      <c r="B189" t="s">
        <v>36</v>
      </c>
      <c r="C189" t="s">
        <v>24</v>
      </c>
      <c r="D189" s="2">
        <v>45685</v>
      </c>
      <c r="E189" t="s">
        <v>14</v>
      </c>
      <c r="F189" t="s">
        <v>20</v>
      </c>
      <c r="G189">
        <v>36</v>
      </c>
      <c r="H189">
        <v>35</v>
      </c>
      <c r="I189">
        <v>8.6999999999999993</v>
      </c>
      <c r="J189">
        <v>2</v>
      </c>
      <c r="K189" t="s">
        <v>16</v>
      </c>
      <c r="L189" t="s">
        <v>17</v>
      </c>
    </row>
    <row r="190" spans="1:12" hidden="1" x14ac:dyDescent="0.25">
      <c r="A190">
        <v>1189</v>
      </c>
      <c r="B190" t="s">
        <v>39</v>
      </c>
      <c r="C190" t="s">
        <v>24</v>
      </c>
      <c r="D190" s="2">
        <v>45742</v>
      </c>
      <c r="E190" t="s">
        <v>35</v>
      </c>
      <c r="F190" t="s">
        <v>30</v>
      </c>
      <c r="G190">
        <v>42</v>
      </c>
      <c r="H190">
        <v>38</v>
      </c>
      <c r="I190">
        <v>3.7</v>
      </c>
      <c r="J190">
        <v>3</v>
      </c>
      <c r="K190" t="s">
        <v>31</v>
      </c>
      <c r="L190" t="s">
        <v>33</v>
      </c>
    </row>
    <row r="191" spans="1:12" hidden="1" x14ac:dyDescent="0.25">
      <c r="A191">
        <v>1190</v>
      </c>
      <c r="B191" t="s">
        <v>12</v>
      </c>
      <c r="C191" t="s">
        <v>19</v>
      </c>
      <c r="D191" s="2">
        <v>45830</v>
      </c>
      <c r="E191" t="s">
        <v>35</v>
      </c>
      <c r="F191" t="s">
        <v>20</v>
      </c>
      <c r="G191">
        <v>31</v>
      </c>
      <c r="H191">
        <v>26</v>
      </c>
      <c r="I191">
        <v>5.4</v>
      </c>
      <c r="J191">
        <v>1</v>
      </c>
      <c r="K191" t="s">
        <v>28</v>
      </c>
      <c r="L191" t="s">
        <v>37</v>
      </c>
    </row>
    <row r="192" spans="1:12" x14ac:dyDescent="0.25">
      <c r="A192">
        <v>1191</v>
      </c>
      <c r="B192" t="s">
        <v>40</v>
      </c>
      <c r="C192" t="s">
        <v>24</v>
      </c>
      <c r="D192" s="2">
        <v>45662</v>
      </c>
      <c r="E192" t="s">
        <v>14</v>
      </c>
      <c r="F192" t="s">
        <v>25</v>
      </c>
      <c r="G192">
        <v>53</v>
      </c>
      <c r="H192">
        <v>53</v>
      </c>
      <c r="I192">
        <v>4.5999999999999996</v>
      </c>
      <c r="J192">
        <v>4</v>
      </c>
      <c r="K192" t="s">
        <v>16</v>
      </c>
      <c r="L192" t="s">
        <v>22</v>
      </c>
    </row>
    <row r="193" spans="1:12" hidden="1" x14ac:dyDescent="0.25">
      <c r="A193">
        <v>1192</v>
      </c>
      <c r="B193" t="s">
        <v>12</v>
      </c>
      <c r="C193" t="s">
        <v>13</v>
      </c>
      <c r="D193" s="2">
        <v>45832</v>
      </c>
      <c r="E193" t="s">
        <v>14</v>
      </c>
      <c r="F193" t="s">
        <v>20</v>
      </c>
      <c r="G193">
        <v>57</v>
      </c>
      <c r="H193">
        <v>53</v>
      </c>
      <c r="I193">
        <v>8.1</v>
      </c>
      <c r="J193">
        <v>5</v>
      </c>
      <c r="K193" t="s">
        <v>28</v>
      </c>
      <c r="L193" t="s">
        <v>22</v>
      </c>
    </row>
    <row r="194" spans="1:12" x14ac:dyDescent="0.25">
      <c r="A194">
        <v>1193</v>
      </c>
      <c r="B194" t="s">
        <v>32</v>
      </c>
      <c r="C194" t="s">
        <v>24</v>
      </c>
      <c r="D194" s="2">
        <v>45671</v>
      </c>
      <c r="E194" t="s">
        <v>27</v>
      </c>
      <c r="F194" t="s">
        <v>25</v>
      </c>
      <c r="G194">
        <v>47</v>
      </c>
      <c r="H194">
        <v>45</v>
      </c>
      <c r="I194">
        <v>7</v>
      </c>
      <c r="J194">
        <v>3</v>
      </c>
      <c r="K194" t="s">
        <v>31</v>
      </c>
      <c r="L194" t="s">
        <v>17</v>
      </c>
    </row>
    <row r="195" spans="1:12" hidden="1" x14ac:dyDescent="0.25">
      <c r="A195">
        <v>1194</v>
      </c>
      <c r="B195" t="s">
        <v>12</v>
      </c>
      <c r="C195" t="s">
        <v>13</v>
      </c>
      <c r="D195" s="2">
        <v>45786</v>
      </c>
      <c r="E195" t="s">
        <v>27</v>
      </c>
      <c r="F195" t="s">
        <v>15</v>
      </c>
      <c r="G195">
        <v>46</v>
      </c>
      <c r="H195">
        <v>40</v>
      </c>
      <c r="I195">
        <v>6.3</v>
      </c>
      <c r="J195">
        <v>2</v>
      </c>
      <c r="K195" t="s">
        <v>28</v>
      </c>
      <c r="L195" t="s">
        <v>17</v>
      </c>
    </row>
    <row r="196" spans="1:12" hidden="1" x14ac:dyDescent="0.25">
      <c r="A196">
        <v>1195</v>
      </c>
      <c r="B196" t="s">
        <v>36</v>
      </c>
      <c r="C196" t="s">
        <v>19</v>
      </c>
      <c r="D196" s="2">
        <v>45772</v>
      </c>
      <c r="E196" t="s">
        <v>35</v>
      </c>
      <c r="F196" t="s">
        <v>15</v>
      </c>
      <c r="G196">
        <v>43</v>
      </c>
      <c r="H196">
        <v>37</v>
      </c>
      <c r="I196">
        <v>6.9</v>
      </c>
      <c r="J196">
        <v>3</v>
      </c>
      <c r="K196" t="s">
        <v>16</v>
      </c>
      <c r="L196" t="s">
        <v>37</v>
      </c>
    </row>
    <row r="197" spans="1:12" hidden="1" x14ac:dyDescent="0.25">
      <c r="A197">
        <v>1196</v>
      </c>
      <c r="B197" t="s">
        <v>23</v>
      </c>
      <c r="C197" t="s">
        <v>24</v>
      </c>
      <c r="D197" s="2">
        <v>45837</v>
      </c>
      <c r="E197" t="s">
        <v>27</v>
      </c>
      <c r="F197" t="s">
        <v>15</v>
      </c>
      <c r="G197">
        <v>31</v>
      </c>
      <c r="H197">
        <v>26</v>
      </c>
      <c r="I197">
        <v>6</v>
      </c>
      <c r="J197">
        <v>3</v>
      </c>
      <c r="K197" t="s">
        <v>21</v>
      </c>
      <c r="L197" t="s">
        <v>37</v>
      </c>
    </row>
    <row r="198" spans="1:12" hidden="1" x14ac:dyDescent="0.25">
      <c r="A198">
        <v>1197</v>
      </c>
      <c r="B198" t="s">
        <v>38</v>
      </c>
      <c r="C198" t="s">
        <v>19</v>
      </c>
      <c r="D198" s="2">
        <v>45765</v>
      </c>
      <c r="E198" t="s">
        <v>35</v>
      </c>
      <c r="F198" t="s">
        <v>15</v>
      </c>
      <c r="G198">
        <v>41</v>
      </c>
      <c r="H198">
        <v>37</v>
      </c>
      <c r="I198">
        <v>5.3</v>
      </c>
      <c r="J198">
        <v>1</v>
      </c>
      <c r="K198" t="s">
        <v>21</v>
      </c>
      <c r="L198" t="s">
        <v>22</v>
      </c>
    </row>
    <row r="199" spans="1:12" x14ac:dyDescent="0.25">
      <c r="A199">
        <v>1198</v>
      </c>
      <c r="B199" t="s">
        <v>38</v>
      </c>
      <c r="C199" t="s">
        <v>19</v>
      </c>
      <c r="D199" s="2">
        <v>45706</v>
      </c>
      <c r="E199" t="s">
        <v>27</v>
      </c>
      <c r="F199" t="s">
        <v>25</v>
      </c>
      <c r="G199">
        <v>58</v>
      </c>
      <c r="H199">
        <v>55</v>
      </c>
      <c r="I199">
        <v>9.4</v>
      </c>
      <c r="J199">
        <v>1</v>
      </c>
      <c r="K199" t="s">
        <v>21</v>
      </c>
      <c r="L199" t="s">
        <v>33</v>
      </c>
    </row>
    <row r="200" spans="1:12" x14ac:dyDescent="0.25">
      <c r="A200">
        <v>1199</v>
      </c>
      <c r="B200" t="s">
        <v>40</v>
      </c>
      <c r="C200" t="s">
        <v>13</v>
      </c>
      <c r="D200" s="2">
        <v>45677</v>
      </c>
      <c r="E200" t="s">
        <v>14</v>
      </c>
      <c r="F200" t="s">
        <v>25</v>
      </c>
      <c r="G200">
        <v>57</v>
      </c>
      <c r="H200">
        <v>54</v>
      </c>
      <c r="I200">
        <v>6.9</v>
      </c>
      <c r="J200">
        <v>3</v>
      </c>
      <c r="K200" t="s">
        <v>21</v>
      </c>
      <c r="L200" t="s">
        <v>26</v>
      </c>
    </row>
    <row r="201" spans="1:12" hidden="1" x14ac:dyDescent="0.25">
      <c r="A201">
        <v>1200</v>
      </c>
      <c r="B201" t="s">
        <v>29</v>
      </c>
      <c r="C201" t="s">
        <v>24</v>
      </c>
      <c r="D201" s="2">
        <v>45773</v>
      </c>
      <c r="E201" t="s">
        <v>27</v>
      </c>
      <c r="F201" t="s">
        <v>15</v>
      </c>
      <c r="G201">
        <v>47</v>
      </c>
      <c r="H201">
        <v>42</v>
      </c>
      <c r="I201">
        <v>6</v>
      </c>
      <c r="J201">
        <v>1</v>
      </c>
      <c r="K201" t="s">
        <v>21</v>
      </c>
      <c r="L201" t="s">
        <v>22</v>
      </c>
    </row>
    <row r="202" spans="1:12" hidden="1" x14ac:dyDescent="0.25">
      <c r="A202">
        <v>1201</v>
      </c>
      <c r="B202" t="s">
        <v>38</v>
      </c>
      <c r="C202" t="s">
        <v>13</v>
      </c>
      <c r="D202" s="2">
        <v>45812</v>
      </c>
      <c r="E202" t="s">
        <v>27</v>
      </c>
      <c r="F202" t="s">
        <v>20</v>
      </c>
      <c r="G202">
        <v>58</v>
      </c>
      <c r="H202">
        <v>56</v>
      </c>
      <c r="I202">
        <v>8</v>
      </c>
      <c r="J202">
        <v>4</v>
      </c>
      <c r="K202" t="s">
        <v>21</v>
      </c>
      <c r="L202" t="s">
        <v>26</v>
      </c>
    </row>
    <row r="203" spans="1:12" hidden="1" x14ac:dyDescent="0.25">
      <c r="A203">
        <v>1202</v>
      </c>
      <c r="B203" t="s">
        <v>36</v>
      </c>
      <c r="C203" t="s">
        <v>19</v>
      </c>
      <c r="D203" s="2">
        <v>45743</v>
      </c>
      <c r="E203" t="s">
        <v>14</v>
      </c>
      <c r="F203" t="s">
        <v>15</v>
      </c>
      <c r="G203">
        <v>47</v>
      </c>
      <c r="H203">
        <v>47</v>
      </c>
      <c r="I203">
        <v>5.8</v>
      </c>
      <c r="J203">
        <v>4</v>
      </c>
      <c r="K203" t="s">
        <v>28</v>
      </c>
      <c r="L203" t="s">
        <v>26</v>
      </c>
    </row>
    <row r="204" spans="1:12" hidden="1" x14ac:dyDescent="0.25">
      <c r="A204">
        <v>1203</v>
      </c>
      <c r="B204" t="s">
        <v>39</v>
      </c>
      <c r="C204" t="s">
        <v>24</v>
      </c>
      <c r="D204" s="2">
        <v>45775</v>
      </c>
      <c r="E204" t="s">
        <v>14</v>
      </c>
      <c r="F204" t="s">
        <v>15</v>
      </c>
      <c r="G204">
        <v>27</v>
      </c>
      <c r="H204">
        <v>26</v>
      </c>
      <c r="I204">
        <v>3.7</v>
      </c>
      <c r="J204">
        <v>5</v>
      </c>
      <c r="K204" t="s">
        <v>16</v>
      </c>
      <c r="L204" t="s">
        <v>22</v>
      </c>
    </row>
    <row r="205" spans="1:12" x14ac:dyDescent="0.25">
      <c r="A205">
        <v>1204</v>
      </c>
      <c r="B205" t="s">
        <v>18</v>
      </c>
      <c r="C205" t="s">
        <v>24</v>
      </c>
      <c r="D205" s="2">
        <v>45741</v>
      </c>
      <c r="E205" t="s">
        <v>35</v>
      </c>
      <c r="F205" t="s">
        <v>25</v>
      </c>
      <c r="G205">
        <v>25</v>
      </c>
      <c r="H205">
        <v>25</v>
      </c>
      <c r="I205">
        <v>6.9</v>
      </c>
      <c r="J205">
        <v>5</v>
      </c>
      <c r="K205" t="s">
        <v>21</v>
      </c>
      <c r="L205" t="s">
        <v>26</v>
      </c>
    </row>
    <row r="206" spans="1:12" x14ac:dyDescent="0.25">
      <c r="A206">
        <v>1205</v>
      </c>
      <c r="B206" t="s">
        <v>40</v>
      </c>
      <c r="C206" t="s">
        <v>19</v>
      </c>
      <c r="D206" s="2">
        <v>45672</v>
      </c>
      <c r="E206" t="s">
        <v>14</v>
      </c>
      <c r="F206" t="s">
        <v>25</v>
      </c>
      <c r="G206">
        <v>51</v>
      </c>
      <c r="H206">
        <v>47</v>
      </c>
      <c r="I206">
        <v>5.8</v>
      </c>
      <c r="J206">
        <v>4</v>
      </c>
      <c r="K206" t="s">
        <v>28</v>
      </c>
      <c r="L206" t="s">
        <v>26</v>
      </c>
    </row>
    <row r="207" spans="1:12" x14ac:dyDescent="0.25">
      <c r="A207">
        <v>1206</v>
      </c>
      <c r="B207" t="s">
        <v>18</v>
      </c>
      <c r="C207" t="s">
        <v>13</v>
      </c>
      <c r="D207" s="2">
        <v>45756</v>
      </c>
      <c r="E207" t="s">
        <v>27</v>
      </c>
      <c r="F207" t="s">
        <v>25</v>
      </c>
      <c r="G207">
        <v>60</v>
      </c>
      <c r="H207">
        <v>58</v>
      </c>
      <c r="I207">
        <v>8.3000000000000007</v>
      </c>
      <c r="J207">
        <v>3</v>
      </c>
      <c r="K207" t="s">
        <v>21</v>
      </c>
      <c r="L207" t="s">
        <v>37</v>
      </c>
    </row>
    <row r="208" spans="1:12" hidden="1" x14ac:dyDescent="0.25">
      <c r="A208">
        <v>1207</v>
      </c>
      <c r="B208" t="s">
        <v>39</v>
      </c>
      <c r="C208" t="s">
        <v>24</v>
      </c>
      <c r="D208" s="2">
        <v>45685</v>
      </c>
      <c r="E208" t="s">
        <v>35</v>
      </c>
      <c r="F208" t="s">
        <v>30</v>
      </c>
      <c r="G208">
        <v>51</v>
      </c>
      <c r="H208">
        <v>49</v>
      </c>
      <c r="I208">
        <v>5.0999999999999996</v>
      </c>
      <c r="J208">
        <v>2</v>
      </c>
      <c r="K208" t="s">
        <v>21</v>
      </c>
      <c r="L208" t="s">
        <v>37</v>
      </c>
    </row>
    <row r="209" spans="1:12" hidden="1" x14ac:dyDescent="0.25">
      <c r="A209">
        <v>1208</v>
      </c>
      <c r="B209" t="s">
        <v>32</v>
      </c>
      <c r="C209" t="s">
        <v>24</v>
      </c>
      <c r="D209" s="2">
        <v>45750</v>
      </c>
      <c r="E209" t="s">
        <v>35</v>
      </c>
      <c r="F209" t="s">
        <v>15</v>
      </c>
      <c r="G209">
        <v>60</v>
      </c>
      <c r="H209">
        <v>59</v>
      </c>
      <c r="I209">
        <v>10</v>
      </c>
      <c r="J209">
        <v>1</v>
      </c>
      <c r="K209" t="s">
        <v>28</v>
      </c>
      <c r="L209" t="s">
        <v>37</v>
      </c>
    </row>
    <row r="210" spans="1:12" hidden="1" x14ac:dyDescent="0.25">
      <c r="A210">
        <v>1209</v>
      </c>
      <c r="B210" t="s">
        <v>34</v>
      </c>
      <c r="C210" t="s">
        <v>19</v>
      </c>
      <c r="D210" s="2">
        <v>45683</v>
      </c>
      <c r="E210" t="s">
        <v>14</v>
      </c>
      <c r="F210" t="s">
        <v>15</v>
      </c>
      <c r="G210">
        <v>56</v>
      </c>
      <c r="H210">
        <v>50</v>
      </c>
      <c r="I210">
        <v>4.4000000000000004</v>
      </c>
      <c r="J210">
        <v>4</v>
      </c>
      <c r="K210" t="s">
        <v>28</v>
      </c>
      <c r="L210" t="s">
        <v>22</v>
      </c>
    </row>
    <row r="211" spans="1:12" x14ac:dyDescent="0.25">
      <c r="A211">
        <v>1210</v>
      </c>
      <c r="B211" t="s">
        <v>40</v>
      </c>
      <c r="C211" t="s">
        <v>13</v>
      </c>
      <c r="D211" s="2">
        <v>45715</v>
      </c>
      <c r="E211" t="s">
        <v>35</v>
      </c>
      <c r="F211" t="s">
        <v>25</v>
      </c>
      <c r="G211">
        <v>39</v>
      </c>
      <c r="H211">
        <v>38</v>
      </c>
      <c r="I211">
        <v>3.8</v>
      </c>
      <c r="J211">
        <v>4</v>
      </c>
      <c r="K211" t="s">
        <v>31</v>
      </c>
      <c r="L211" t="s">
        <v>37</v>
      </c>
    </row>
    <row r="212" spans="1:12" hidden="1" x14ac:dyDescent="0.25">
      <c r="A212">
        <v>1211</v>
      </c>
      <c r="B212" t="s">
        <v>23</v>
      </c>
      <c r="C212" t="s">
        <v>24</v>
      </c>
      <c r="D212" s="2">
        <v>45685</v>
      </c>
      <c r="E212" t="s">
        <v>35</v>
      </c>
      <c r="F212" t="s">
        <v>15</v>
      </c>
      <c r="G212">
        <v>60</v>
      </c>
      <c r="H212">
        <v>58</v>
      </c>
      <c r="I212">
        <v>8.6</v>
      </c>
      <c r="J212">
        <v>3</v>
      </c>
      <c r="K212" t="s">
        <v>21</v>
      </c>
      <c r="L212" t="s">
        <v>17</v>
      </c>
    </row>
    <row r="213" spans="1:12" hidden="1" x14ac:dyDescent="0.25">
      <c r="A213">
        <v>1212</v>
      </c>
      <c r="B213" t="s">
        <v>29</v>
      </c>
      <c r="C213" t="s">
        <v>19</v>
      </c>
      <c r="D213" s="2">
        <v>45795</v>
      </c>
      <c r="E213" t="s">
        <v>14</v>
      </c>
      <c r="F213" t="s">
        <v>30</v>
      </c>
      <c r="G213">
        <v>56</v>
      </c>
      <c r="H213">
        <v>56</v>
      </c>
      <c r="I213">
        <v>8.3000000000000007</v>
      </c>
      <c r="J213">
        <v>4</v>
      </c>
      <c r="K213" t="s">
        <v>31</v>
      </c>
      <c r="L213" t="s">
        <v>17</v>
      </c>
    </row>
    <row r="214" spans="1:12" x14ac:dyDescent="0.25">
      <c r="A214">
        <v>1213</v>
      </c>
      <c r="B214" t="s">
        <v>39</v>
      </c>
      <c r="C214" t="s">
        <v>19</v>
      </c>
      <c r="D214" s="2">
        <v>45758</v>
      </c>
      <c r="E214" t="s">
        <v>35</v>
      </c>
      <c r="F214" t="s">
        <v>25</v>
      </c>
      <c r="G214">
        <v>36</v>
      </c>
      <c r="H214">
        <v>34</v>
      </c>
      <c r="I214">
        <v>8.1999999999999993</v>
      </c>
      <c r="J214">
        <v>1</v>
      </c>
      <c r="K214" t="s">
        <v>31</v>
      </c>
      <c r="L214" t="s">
        <v>26</v>
      </c>
    </row>
    <row r="215" spans="1:12" x14ac:dyDescent="0.25">
      <c r="A215">
        <v>1214</v>
      </c>
      <c r="B215" t="s">
        <v>29</v>
      </c>
      <c r="C215" t="s">
        <v>24</v>
      </c>
      <c r="D215" s="2">
        <v>45825</v>
      </c>
      <c r="E215" t="s">
        <v>27</v>
      </c>
      <c r="F215" t="s">
        <v>25</v>
      </c>
      <c r="G215">
        <v>53</v>
      </c>
      <c r="H215">
        <v>47</v>
      </c>
      <c r="I215">
        <v>9.6999999999999993</v>
      </c>
      <c r="J215">
        <v>4</v>
      </c>
      <c r="K215" t="s">
        <v>31</v>
      </c>
      <c r="L215" t="s">
        <v>17</v>
      </c>
    </row>
    <row r="216" spans="1:12" x14ac:dyDescent="0.25">
      <c r="A216">
        <v>1215</v>
      </c>
      <c r="B216" t="s">
        <v>40</v>
      </c>
      <c r="C216" t="s">
        <v>19</v>
      </c>
      <c r="D216" s="2">
        <v>45826</v>
      </c>
      <c r="E216" t="s">
        <v>14</v>
      </c>
      <c r="F216" t="s">
        <v>25</v>
      </c>
      <c r="G216">
        <v>38</v>
      </c>
      <c r="H216">
        <v>35</v>
      </c>
      <c r="I216">
        <v>6.3</v>
      </c>
      <c r="J216">
        <v>1</v>
      </c>
      <c r="K216" t="s">
        <v>31</v>
      </c>
      <c r="L216" t="s">
        <v>17</v>
      </c>
    </row>
    <row r="217" spans="1:12" hidden="1" x14ac:dyDescent="0.25">
      <c r="A217">
        <v>1216</v>
      </c>
      <c r="B217" t="s">
        <v>23</v>
      </c>
      <c r="C217" t="s">
        <v>19</v>
      </c>
      <c r="D217" s="2">
        <v>45830</v>
      </c>
      <c r="E217" t="s">
        <v>27</v>
      </c>
      <c r="F217" t="s">
        <v>20</v>
      </c>
      <c r="G217">
        <v>53</v>
      </c>
      <c r="H217">
        <v>51</v>
      </c>
      <c r="I217">
        <v>3.7</v>
      </c>
      <c r="J217">
        <v>1</v>
      </c>
      <c r="K217" t="s">
        <v>28</v>
      </c>
      <c r="L217" t="s">
        <v>37</v>
      </c>
    </row>
    <row r="218" spans="1:12" hidden="1" x14ac:dyDescent="0.25">
      <c r="A218">
        <v>1217</v>
      </c>
      <c r="B218" t="s">
        <v>39</v>
      </c>
      <c r="C218" t="s">
        <v>13</v>
      </c>
      <c r="D218" s="2">
        <v>45681</v>
      </c>
      <c r="E218" t="s">
        <v>27</v>
      </c>
      <c r="F218" t="s">
        <v>30</v>
      </c>
      <c r="G218">
        <v>55</v>
      </c>
      <c r="H218">
        <v>54</v>
      </c>
      <c r="I218">
        <v>6.2</v>
      </c>
      <c r="J218">
        <v>4</v>
      </c>
      <c r="K218" t="s">
        <v>31</v>
      </c>
      <c r="L218" t="s">
        <v>22</v>
      </c>
    </row>
    <row r="219" spans="1:12" hidden="1" x14ac:dyDescent="0.25">
      <c r="A219">
        <v>1218</v>
      </c>
      <c r="B219" t="s">
        <v>29</v>
      </c>
      <c r="C219" t="s">
        <v>24</v>
      </c>
      <c r="D219" s="2">
        <v>45763</v>
      </c>
      <c r="E219" t="s">
        <v>14</v>
      </c>
      <c r="F219" t="s">
        <v>15</v>
      </c>
      <c r="G219">
        <v>25</v>
      </c>
      <c r="H219">
        <v>23</v>
      </c>
      <c r="I219">
        <v>9.6</v>
      </c>
      <c r="J219">
        <v>3</v>
      </c>
      <c r="K219" t="s">
        <v>31</v>
      </c>
      <c r="L219" t="s">
        <v>22</v>
      </c>
    </row>
    <row r="220" spans="1:12" hidden="1" x14ac:dyDescent="0.25">
      <c r="A220">
        <v>1219</v>
      </c>
      <c r="B220" t="s">
        <v>34</v>
      </c>
      <c r="C220" t="s">
        <v>24</v>
      </c>
      <c r="D220" s="2">
        <v>45752</v>
      </c>
      <c r="E220" t="s">
        <v>14</v>
      </c>
      <c r="F220" t="s">
        <v>15</v>
      </c>
      <c r="G220">
        <v>49</v>
      </c>
      <c r="H220">
        <v>48</v>
      </c>
      <c r="I220">
        <v>7</v>
      </c>
      <c r="J220">
        <v>4</v>
      </c>
      <c r="K220" t="s">
        <v>21</v>
      </c>
      <c r="L220" t="s">
        <v>33</v>
      </c>
    </row>
    <row r="221" spans="1:12" hidden="1" x14ac:dyDescent="0.25">
      <c r="A221">
        <v>1220</v>
      </c>
      <c r="B221" t="s">
        <v>29</v>
      </c>
      <c r="C221" t="s">
        <v>13</v>
      </c>
      <c r="D221" s="2">
        <v>45695</v>
      </c>
      <c r="E221" t="s">
        <v>27</v>
      </c>
      <c r="F221" t="s">
        <v>30</v>
      </c>
      <c r="G221">
        <v>58</v>
      </c>
      <c r="H221">
        <v>54</v>
      </c>
      <c r="I221">
        <v>4.3</v>
      </c>
      <c r="J221">
        <v>2</v>
      </c>
      <c r="K221" t="s">
        <v>28</v>
      </c>
      <c r="L221" t="s">
        <v>22</v>
      </c>
    </row>
    <row r="222" spans="1:12" hidden="1" x14ac:dyDescent="0.25">
      <c r="A222">
        <v>1221</v>
      </c>
      <c r="B222" t="s">
        <v>29</v>
      </c>
      <c r="C222" t="s">
        <v>24</v>
      </c>
      <c r="D222" s="2">
        <v>45735</v>
      </c>
      <c r="E222" t="s">
        <v>35</v>
      </c>
      <c r="F222" t="s">
        <v>20</v>
      </c>
      <c r="G222">
        <v>35</v>
      </c>
      <c r="H222">
        <v>29</v>
      </c>
      <c r="I222">
        <v>5.6</v>
      </c>
      <c r="J222">
        <v>5</v>
      </c>
      <c r="K222" t="s">
        <v>31</v>
      </c>
      <c r="L222" t="s">
        <v>17</v>
      </c>
    </row>
    <row r="223" spans="1:12" x14ac:dyDescent="0.25">
      <c r="A223">
        <v>1222</v>
      </c>
      <c r="B223" t="s">
        <v>29</v>
      </c>
      <c r="C223" t="s">
        <v>13</v>
      </c>
      <c r="D223" s="2">
        <v>45810</v>
      </c>
      <c r="E223" t="s">
        <v>27</v>
      </c>
      <c r="F223" t="s">
        <v>25</v>
      </c>
      <c r="G223">
        <v>51</v>
      </c>
      <c r="H223">
        <v>48</v>
      </c>
      <c r="I223">
        <v>7</v>
      </c>
      <c r="J223">
        <v>4</v>
      </c>
      <c r="K223" t="s">
        <v>31</v>
      </c>
      <c r="L223" t="s">
        <v>17</v>
      </c>
    </row>
    <row r="224" spans="1:12" hidden="1" x14ac:dyDescent="0.25">
      <c r="A224">
        <v>1223</v>
      </c>
      <c r="B224" t="s">
        <v>36</v>
      </c>
      <c r="C224" t="s">
        <v>24</v>
      </c>
      <c r="D224" s="2">
        <v>45746</v>
      </c>
      <c r="E224" t="s">
        <v>35</v>
      </c>
      <c r="F224" t="s">
        <v>15</v>
      </c>
      <c r="G224">
        <v>30</v>
      </c>
      <c r="H224">
        <v>26</v>
      </c>
      <c r="I224">
        <v>8.5</v>
      </c>
      <c r="J224">
        <v>2</v>
      </c>
      <c r="K224" t="s">
        <v>16</v>
      </c>
      <c r="L224" t="s">
        <v>33</v>
      </c>
    </row>
    <row r="225" spans="1:12" hidden="1" x14ac:dyDescent="0.25">
      <c r="A225">
        <v>1224</v>
      </c>
      <c r="B225" t="s">
        <v>34</v>
      </c>
      <c r="C225" t="s">
        <v>19</v>
      </c>
      <c r="D225" s="2">
        <v>45731</v>
      </c>
      <c r="E225" t="s">
        <v>35</v>
      </c>
      <c r="F225" t="s">
        <v>15</v>
      </c>
      <c r="G225">
        <v>49</v>
      </c>
      <c r="H225">
        <v>49</v>
      </c>
      <c r="I225">
        <v>4.4000000000000004</v>
      </c>
      <c r="J225">
        <v>3</v>
      </c>
      <c r="K225" t="s">
        <v>31</v>
      </c>
      <c r="L225" t="s">
        <v>22</v>
      </c>
    </row>
    <row r="226" spans="1:12" hidden="1" x14ac:dyDescent="0.25">
      <c r="A226">
        <v>1225</v>
      </c>
      <c r="B226" t="s">
        <v>32</v>
      </c>
      <c r="C226" t="s">
        <v>24</v>
      </c>
      <c r="D226" s="2">
        <v>45771</v>
      </c>
      <c r="E226" t="s">
        <v>35</v>
      </c>
      <c r="F226" t="s">
        <v>20</v>
      </c>
      <c r="G226">
        <v>41</v>
      </c>
      <c r="H226">
        <v>38</v>
      </c>
      <c r="I226">
        <v>9.8000000000000007</v>
      </c>
      <c r="J226">
        <v>4</v>
      </c>
      <c r="K226" t="s">
        <v>21</v>
      </c>
      <c r="L226" t="s">
        <v>33</v>
      </c>
    </row>
    <row r="227" spans="1:12" hidden="1" x14ac:dyDescent="0.25">
      <c r="A227">
        <v>1226</v>
      </c>
      <c r="B227" t="s">
        <v>29</v>
      </c>
      <c r="C227" t="s">
        <v>24</v>
      </c>
      <c r="D227" s="2">
        <v>45661</v>
      </c>
      <c r="E227" t="s">
        <v>14</v>
      </c>
      <c r="F227" t="s">
        <v>20</v>
      </c>
      <c r="G227">
        <v>45</v>
      </c>
      <c r="H227">
        <v>42</v>
      </c>
      <c r="I227">
        <v>8.1</v>
      </c>
      <c r="J227">
        <v>3</v>
      </c>
      <c r="K227" t="s">
        <v>31</v>
      </c>
      <c r="L227" t="s">
        <v>37</v>
      </c>
    </row>
    <row r="228" spans="1:12" hidden="1" x14ac:dyDescent="0.25">
      <c r="A228">
        <v>1227</v>
      </c>
      <c r="B228" t="s">
        <v>39</v>
      </c>
      <c r="C228" t="s">
        <v>24</v>
      </c>
      <c r="D228" s="2">
        <v>45824</v>
      </c>
      <c r="E228" t="s">
        <v>14</v>
      </c>
      <c r="F228" t="s">
        <v>20</v>
      </c>
      <c r="G228">
        <v>49</v>
      </c>
      <c r="H228">
        <v>45</v>
      </c>
      <c r="I228">
        <v>9.1</v>
      </c>
      <c r="J228">
        <v>3</v>
      </c>
      <c r="K228" t="s">
        <v>28</v>
      </c>
      <c r="L228" t="s">
        <v>22</v>
      </c>
    </row>
    <row r="229" spans="1:12" hidden="1" x14ac:dyDescent="0.25">
      <c r="A229">
        <v>1228</v>
      </c>
      <c r="B229" t="s">
        <v>23</v>
      </c>
      <c r="C229" t="s">
        <v>24</v>
      </c>
      <c r="D229" s="2">
        <v>45800</v>
      </c>
      <c r="E229" t="s">
        <v>14</v>
      </c>
      <c r="F229" t="s">
        <v>20</v>
      </c>
      <c r="G229">
        <v>48</v>
      </c>
      <c r="H229">
        <v>48</v>
      </c>
      <c r="I229">
        <v>8.8000000000000007</v>
      </c>
      <c r="J229">
        <v>1</v>
      </c>
      <c r="K229" t="s">
        <v>28</v>
      </c>
      <c r="L229" t="s">
        <v>37</v>
      </c>
    </row>
    <row r="230" spans="1:12" hidden="1" x14ac:dyDescent="0.25">
      <c r="A230">
        <v>1229</v>
      </c>
      <c r="B230" t="s">
        <v>39</v>
      </c>
      <c r="C230" t="s">
        <v>24</v>
      </c>
      <c r="D230" s="2">
        <v>45693</v>
      </c>
      <c r="E230" t="s">
        <v>27</v>
      </c>
      <c r="F230" t="s">
        <v>15</v>
      </c>
      <c r="G230">
        <v>43</v>
      </c>
      <c r="H230">
        <v>40</v>
      </c>
      <c r="I230">
        <v>4.5</v>
      </c>
      <c r="J230">
        <v>2</v>
      </c>
      <c r="K230" t="s">
        <v>16</v>
      </c>
      <c r="L230" t="s">
        <v>22</v>
      </c>
    </row>
    <row r="231" spans="1:12" hidden="1" x14ac:dyDescent="0.25">
      <c r="A231">
        <v>1230</v>
      </c>
      <c r="B231" t="s">
        <v>18</v>
      </c>
      <c r="C231" t="s">
        <v>19</v>
      </c>
      <c r="D231" s="2">
        <v>45747</v>
      </c>
      <c r="E231" t="s">
        <v>35</v>
      </c>
      <c r="F231" t="s">
        <v>30</v>
      </c>
      <c r="G231">
        <v>54</v>
      </c>
      <c r="H231">
        <v>52</v>
      </c>
      <c r="I231">
        <v>9.8000000000000007</v>
      </c>
      <c r="J231">
        <v>5</v>
      </c>
      <c r="K231" t="s">
        <v>31</v>
      </c>
      <c r="L231" t="s">
        <v>26</v>
      </c>
    </row>
    <row r="232" spans="1:12" hidden="1" x14ac:dyDescent="0.25">
      <c r="A232">
        <v>1231</v>
      </c>
      <c r="B232" t="s">
        <v>36</v>
      </c>
      <c r="C232" t="s">
        <v>13</v>
      </c>
      <c r="D232" s="2">
        <v>45729</v>
      </c>
      <c r="E232" t="s">
        <v>27</v>
      </c>
      <c r="F232" t="s">
        <v>15</v>
      </c>
      <c r="G232">
        <v>49</v>
      </c>
      <c r="H232">
        <v>47</v>
      </c>
      <c r="I232">
        <v>6.8</v>
      </c>
      <c r="J232">
        <v>4</v>
      </c>
      <c r="K232" t="s">
        <v>31</v>
      </c>
      <c r="L232" t="s">
        <v>26</v>
      </c>
    </row>
    <row r="233" spans="1:12" hidden="1" x14ac:dyDescent="0.25">
      <c r="A233">
        <v>1232</v>
      </c>
      <c r="B233" t="s">
        <v>39</v>
      </c>
      <c r="C233" t="s">
        <v>24</v>
      </c>
      <c r="D233" s="2">
        <v>45729</v>
      </c>
      <c r="E233" t="s">
        <v>35</v>
      </c>
      <c r="F233" t="s">
        <v>30</v>
      </c>
      <c r="G233">
        <v>52</v>
      </c>
      <c r="H233">
        <v>50</v>
      </c>
      <c r="I233">
        <v>7.1</v>
      </c>
      <c r="J233">
        <v>5</v>
      </c>
      <c r="K233" t="s">
        <v>31</v>
      </c>
      <c r="L233" t="s">
        <v>37</v>
      </c>
    </row>
    <row r="234" spans="1:12" hidden="1" x14ac:dyDescent="0.25">
      <c r="A234">
        <v>1233</v>
      </c>
      <c r="B234" t="s">
        <v>38</v>
      </c>
      <c r="C234" t="s">
        <v>13</v>
      </c>
      <c r="D234" s="2">
        <v>45683</v>
      </c>
      <c r="E234" t="s">
        <v>27</v>
      </c>
      <c r="F234" t="s">
        <v>20</v>
      </c>
      <c r="G234">
        <v>31</v>
      </c>
      <c r="H234">
        <v>27</v>
      </c>
      <c r="I234">
        <v>3.5</v>
      </c>
      <c r="J234">
        <v>4</v>
      </c>
      <c r="K234" t="s">
        <v>28</v>
      </c>
      <c r="L234" t="s">
        <v>33</v>
      </c>
    </row>
    <row r="235" spans="1:12" x14ac:dyDescent="0.25">
      <c r="A235">
        <v>1234</v>
      </c>
      <c r="B235" t="s">
        <v>12</v>
      </c>
      <c r="C235" t="s">
        <v>19</v>
      </c>
      <c r="D235" s="2">
        <v>45712</v>
      </c>
      <c r="E235" t="s">
        <v>27</v>
      </c>
      <c r="F235" t="s">
        <v>25</v>
      </c>
      <c r="G235">
        <v>38</v>
      </c>
      <c r="H235">
        <v>37</v>
      </c>
      <c r="I235">
        <v>9.5</v>
      </c>
      <c r="J235">
        <v>3</v>
      </c>
      <c r="K235" t="s">
        <v>21</v>
      </c>
      <c r="L235" t="s">
        <v>33</v>
      </c>
    </row>
    <row r="236" spans="1:12" hidden="1" x14ac:dyDescent="0.25">
      <c r="A236">
        <v>1235</v>
      </c>
      <c r="B236" t="s">
        <v>32</v>
      </c>
      <c r="C236" t="s">
        <v>24</v>
      </c>
      <c r="D236" s="2">
        <v>45826</v>
      </c>
      <c r="E236" t="s">
        <v>35</v>
      </c>
      <c r="F236" t="s">
        <v>20</v>
      </c>
      <c r="G236">
        <v>39</v>
      </c>
      <c r="H236">
        <v>34</v>
      </c>
      <c r="I236">
        <v>5.7</v>
      </c>
      <c r="J236">
        <v>5</v>
      </c>
      <c r="K236" t="s">
        <v>31</v>
      </c>
      <c r="L236" t="s">
        <v>37</v>
      </c>
    </row>
    <row r="237" spans="1:12" x14ac:dyDescent="0.25">
      <c r="A237">
        <v>1236</v>
      </c>
      <c r="B237" t="s">
        <v>34</v>
      </c>
      <c r="C237" t="s">
        <v>13</v>
      </c>
      <c r="D237" s="2">
        <v>45682</v>
      </c>
      <c r="E237" t="s">
        <v>35</v>
      </c>
      <c r="F237" t="s">
        <v>25</v>
      </c>
      <c r="G237">
        <v>48</v>
      </c>
      <c r="H237">
        <v>45</v>
      </c>
      <c r="I237">
        <v>9</v>
      </c>
      <c r="J237">
        <v>1</v>
      </c>
      <c r="K237" t="s">
        <v>16</v>
      </c>
      <c r="L237" t="s">
        <v>17</v>
      </c>
    </row>
    <row r="238" spans="1:12" hidden="1" x14ac:dyDescent="0.25">
      <c r="A238">
        <v>1237</v>
      </c>
      <c r="B238" t="s">
        <v>34</v>
      </c>
      <c r="C238" t="s">
        <v>19</v>
      </c>
      <c r="D238" s="2">
        <v>45748</v>
      </c>
      <c r="E238" t="s">
        <v>14</v>
      </c>
      <c r="F238" t="s">
        <v>30</v>
      </c>
      <c r="G238">
        <v>42</v>
      </c>
      <c r="H238">
        <v>37</v>
      </c>
      <c r="I238">
        <v>5.3</v>
      </c>
      <c r="J238">
        <v>1</v>
      </c>
      <c r="K238" t="s">
        <v>21</v>
      </c>
      <c r="L238" t="s">
        <v>22</v>
      </c>
    </row>
    <row r="239" spans="1:12" hidden="1" x14ac:dyDescent="0.25">
      <c r="A239">
        <v>1238</v>
      </c>
      <c r="B239" t="s">
        <v>12</v>
      </c>
      <c r="C239" t="s">
        <v>24</v>
      </c>
      <c r="D239" s="2">
        <v>45830</v>
      </c>
      <c r="E239" t="s">
        <v>27</v>
      </c>
      <c r="F239" t="s">
        <v>20</v>
      </c>
      <c r="G239">
        <v>46</v>
      </c>
      <c r="H239">
        <v>40</v>
      </c>
      <c r="I239">
        <v>4.0999999999999996</v>
      </c>
      <c r="J239">
        <v>5</v>
      </c>
      <c r="K239" t="s">
        <v>28</v>
      </c>
      <c r="L239" t="s">
        <v>37</v>
      </c>
    </row>
    <row r="240" spans="1:12" hidden="1" x14ac:dyDescent="0.25">
      <c r="A240">
        <v>1239</v>
      </c>
      <c r="B240" t="s">
        <v>23</v>
      </c>
      <c r="C240" t="s">
        <v>19</v>
      </c>
      <c r="D240" s="2">
        <v>45766</v>
      </c>
      <c r="E240" t="s">
        <v>14</v>
      </c>
      <c r="F240" t="s">
        <v>30</v>
      </c>
      <c r="G240">
        <v>31</v>
      </c>
      <c r="H240">
        <v>27</v>
      </c>
      <c r="I240">
        <v>9.6999999999999993</v>
      </c>
      <c r="J240">
        <v>1</v>
      </c>
      <c r="K240" t="s">
        <v>21</v>
      </c>
      <c r="L240" t="s">
        <v>22</v>
      </c>
    </row>
    <row r="241" spans="1:12" x14ac:dyDescent="0.25">
      <c r="A241">
        <v>1240</v>
      </c>
      <c r="B241" t="s">
        <v>12</v>
      </c>
      <c r="C241" t="s">
        <v>13</v>
      </c>
      <c r="D241" s="2">
        <v>45836</v>
      </c>
      <c r="E241" t="s">
        <v>14</v>
      </c>
      <c r="F241" t="s">
        <v>25</v>
      </c>
      <c r="G241">
        <v>56</v>
      </c>
      <c r="H241">
        <v>53</v>
      </c>
      <c r="I241">
        <v>5.2</v>
      </c>
      <c r="J241">
        <v>4</v>
      </c>
      <c r="K241" t="s">
        <v>16</v>
      </c>
      <c r="L241" t="s">
        <v>33</v>
      </c>
    </row>
    <row r="242" spans="1:12" x14ac:dyDescent="0.25">
      <c r="A242">
        <v>1241</v>
      </c>
      <c r="B242" t="s">
        <v>23</v>
      </c>
      <c r="C242" t="s">
        <v>13</v>
      </c>
      <c r="D242" s="2">
        <v>45665</v>
      </c>
      <c r="E242" t="s">
        <v>35</v>
      </c>
      <c r="F242" t="s">
        <v>25</v>
      </c>
      <c r="G242">
        <v>54</v>
      </c>
      <c r="H242">
        <v>53</v>
      </c>
      <c r="I242">
        <v>8.8000000000000007</v>
      </c>
      <c r="J242">
        <v>3</v>
      </c>
      <c r="K242" t="s">
        <v>21</v>
      </c>
      <c r="L242" t="s">
        <v>37</v>
      </c>
    </row>
    <row r="243" spans="1:12" hidden="1" x14ac:dyDescent="0.25">
      <c r="A243">
        <v>1242</v>
      </c>
      <c r="B243" t="s">
        <v>12</v>
      </c>
      <c r="C243" t="s">
        <v>19</v>
      </c>
      <c r="D243" s="2">
        <v>45740</v>
      </c>
      <c r="E243" t="s">
        <v>14</v>
      </c>
      <c r="F243" t="s">
        <v>15</v>
      </c>
      <c r="G243">
        <v>58</v>
      </c>
      <c r="H243">
        <v>53</v>
      </c>
      <c r="I243">
        <v>6.6</v>
      </c>
      <c r="J243">
        <v>1</v>
      </c>
      <c r="K243" t="s">
        <v>16</v>
      </c>
      <c r="L243" t="s">
        <v>33</v>
      </c>
    </row>
    <row r="244" spans="1:12" hidden="1" x14ac:dyDescent="0.25">
      <c r="A244">
        <v>1243</v>
      </c>
      <c r="B244" t="s">
        <v>39</v>
      </c>
      <c r="C244" t="s">
        <v>13</v>
      </c>
      <c r="D244" s="2">
        <v>45802</v>
      </c>
      <c r="E244" t="s">
        <v>35</v>
      </c>
      <c r="F244" t="s">
        <v>20</v>
      </c>
      <c r="G244">
        <v>43</v>
      </c>
      <c r="H244">
        <v>41</v>
      </c>
      <c r="I244">
        <v>9.3000000000000007</v>
      </c>
      <c r="J244">
        <v>3</v>
      </c>
      <c r="K244" t="s">
        <v>31</v>
      </c>
      <c r="L244" t="s">
        <v>22</v>
      </c>
    </row>
    <row r="245" spans="1:12" x14ac:dyDescent="0.25">
      <c r="A245">
        <v>1244</v>
      </c>
      <c r="B245" t="s">
        <v>34</v>
      </c>
      <c r="C245" t="s">
        <v>24</v>
      </c>
      <c r="D245" s="2">
        <v>45684</v>
      </c>
      <c r="E245" t="s">
        <v>14</v>
      </c>
      <c r="F245" t="s">
        <v>25</v>
      </c>
      <c r="G245">
        <v>43</v>
      </c>
      <c r="H245">
        <v>40</v>
      </c>
      <c r="I245">
        <v>8.6</v>
      </c>
      <c r="J245">
        <v>4</v>
      </c>
      <c r="K245" t="s">
        <v>31</v>
      </c>
      <c r="L245" t="s">
        <v>22</v>
      </c>
    </row>
    <row r="246" spans="1:12" hidden="1" x14ac:dyDescent="0.25">
      <c r="A246">
        <v>1245</v>
      </c>
      <c r="B246" t="s">
        <v>12</v>
      </c>
      <c r="C246" t="s">
        <v>19</v>
      </c>
      <c r="D246" s="2">
        <v>45772</v>
      </c>
      <c r="E246" t="s">
        <v>35</v>
      </c>
      <c r="F246" t="s">
        <v>20</v>
      </c>
      <c r="G246">
        <v>46</v>
      </c>
      <c r="H246">
        <v>46</v>
      </c>
      <c r="I246">
        <v>7.7</v>
      </c>
      <c r="J246">
        <v>4</v>
      </c>
      <c r="K246" t="s">
        <v>16</v>
      </c>
      <c r="L246" t="s">
        <v>37</v>
      </c>
    </row>
    <row r="247" spans="1:12" hidden="1" x14ac:dyDescent="0.25">
      <c r="A247">
        <v>1246</v>
      </c>
      <c r="B247" t="s">
        <v>38</v>
      </c>
      <c r="C247" t="s">
        <v>19</v>
      </c>
      <c r="D247" s="2">
        <v>45733</v>
      </c>
      <c r="E247" t="s">
        <v>35</v>
      </c>
      <c r="F247" t="s">
        <v>20</v>
      </c>
      <c r="G247">
        <v>29</v>
      </c>
      <c r="H247">
        <v>27</v>
      </c>
      <c r="I247">
        <v>3.7</v>
      </c>
      <c r="J247">
        <v>2</v>
      </c>
      <c r="K247" t="s">
        <v>31</v>
      </c>
      <c r="L247" t="s">
        <v>17</v>
      </c>
    </row>
    <row r="248" spans="1:12" hidden="1" x14ac:dyDescent="0.25">
      <c r="A248">
        <v>1247</v>
      </c>
      <c r="B248" t="s">
        <v>39</v>
      </c>
      <c r="C248" t="s">
        <v>24</v>
      </c>
      <c r="D248" s="2">
        <v>45715</v>
      </c>
      <c r="E248" t="s">
        <v>14</v>
      </c>
      <c r="F248" t="s">
        <v>30</v>
      </c>
      <c r="G248">
        <v>55</v>
      </c>
      <c r="H248">
        <v>52</v>
      </c>
      <c r="I248">
        <v>9.5</v>
      </c>
      <c r="J248">
        <v>4</v>
      </c>
      <c r="K248" t="s">
        <v>28</v>
      </c>
      <c r="L248" t="s">
        <v>17</v>
      </c>
    </row>
    <row r="249" spans="1:12" x14ac:dyDescent="0.25">
      <c r="A249">
        <v>1248</v>
      </c>
      <c r="B249" t="s">
        <v>36</v>
      </c>
      <c r="C249" t="s">
        <v>13</v>
      </c>
      <c r="D249" s="2">
        <v>45675</v>
      </c>
      <c r="E249" t="s">
        <v>27</v>
      </c>
      <c r="F249" t="s">
        <v>25</v>
      </c>
      <c r="G249">
        <v>40</v>
      </c>
      <c r="H249">
        <v>35</v>
      </c>
      <c r="I249">
        <v>9.1</v>
      </c>
      <c r="J249">
        <v>4</v>
      </c>
      <c r="K249" t="s">
        <v>31</v>
      </c>
      <c r="L249" t="s">
        <v>22</v>
      </c>
    </row>
    <row r="250" spans="1:12" x14ac:dyDescent="0.25">
      <c r="A250">
        <v>1249</v>
      </c>
      <c r="B250" t="s">
        <v>29</v>
      </c>
      <c r="C250" t="s">
        <v>24</v>
      </c>
      <c r="D250" s="2">
        <v>45658</v>
      </c>
      <c r="E250" t="s">
        <v>14</v>
      </c>
      <c r="F250" t="s">
        <v>25</v>
      </c>
      <c r="G250">
        <v>25</v>
      </c>
      <c r="H250">
        <v>19</v>
      </c>
      <c r="I250">
        <v>8.3000000000000007</v>
      </c>
      <c r="J250">
        <v>4</v>
      </c>
      <c r="K250" t="s">
        <v>21</v>
      </c>
      <c r="L250" t="s">
        <v>22</v>
      </c>
    </row>
    <row r="251" spans="1:12" x14ac:dyDescent="0.25">
      <c r="A251">
        <v>1250</v>
      </c>
      <c r="B251" t="s">
        <v>29</v>
      </c>
      <c r="C251" t="s">
        <v>19</v>
      </c>
      <c r="D251" s="2">
        <v>45696</v>
      </c>
      <c r="E251" t="s">
        <v>35</v>
      </c>
      <c r="F251" t="s">
        <v>25</v>
      </c>
      <c r="G251">
        <v>37</v>
      </c>
      <c r="H251">
        <v>33</v>
      </c>
      <c r="I251">
        <v>6.9</v>
      </c>
      <c r="J251">
        <v>1</v>
      </c>
      <c r="K251" t="s">
        <v>21</v>
      </c>
      <c r="L251" t="s">
        <v>22</v>
      </c>
    </row>
    <row r="252" spans="1:12" x14ac:dyDescent="0.25">
      <c r="A252">
        <v>1251</v>
      </c>
      <c r="B252" t="s">
        <v>12</v>
      </c>
      <c r="C252" t="s">
        <v>13</v>
      </c>
      <c r="D252" s="2">
        <v>45808</v>
      </c>
      <c r="E252" t="s">
        <v>35</v>
      </c>
      <c r="F252" t="s">
        <v>25</v>
      </c>
      <c r="G252">
        <v>34</v>
      </c>
      <c r="H252">
        <v>30</v>
      </c>
      <c r="I252">
        <v>3.5</v>
      </c>
      <c r="J252">
        <v>1</v>
      </c>
      <c r="K252" t="s">
        <v>21</v>
      </c>
      <c r="L252" t="s">
        <v>17</v>
      </c>
    </row>
    <row r="253" spans="1:12" hidden="1" x14ac:dyDescent="0.25">
      <c r="A253">
        <v>1252</v>
      </c>
      <c r="B253" t="s">
        <v>12</v>
      </c>
      <c r="C253" t="s">
        <v>13</v>
      </c>
      <c r="D253" s="2">
        <v>45673</v>
      </c>
      <c r="E253" t="s">
        <v>14</v>
      </c>
      <c r="F253" t="s">
        <v>15</v>
      </c>
      <c r="G253">
        <v>45</v>
      </c>
      <c r="H253">
        <v>43</v>
      </c>
      <c r="I253">
        <v>8.6999999999999993</v>
      </c>
      <c r="J253">
        <v>1</v>
      </c>
      <c r="K253" t="s">
        <v>16</v>
      </c>
      <c r="L253" t="s">
        <v>22</v>
      </c>
    </row>
    <row r="254" spans="1:12" hidden="1" x14ac:dyDescent="0.25">
      <c r="A254">
        <v>1253</v>
      </c>
      <c r="B254" t="s">
        <v>23</v>
      </c>
      <c r="C254" t="s">
        <v>19</v>
      </c>
      <c r="D254" s="2">
        <v>45819</v>
      </c>
      <c r="E254" t="s">
        <v>14</v>
      </c>
      <c r="F254" t="s">
        <v>15</v>
      </c>
      <c r="G254">
        <v>27</v>
      </c>
      <c r="H254">
        <v>23</v>
      </c>
      <c r="I254">
        <v>4.8</v>
      </c>
      <c r="J254">
        <v>4</v>
      </c>
      <c r="K254" t="s">
        <v>31</v>
      </c>
      <c r="L254" t="s">
        <v>17</v>
      </c>
    </row>
    <row r="255" spans="1:12" hidden="1" x14ac:dyDescent="0.25">
      <c r="A255">
        <v>1254</v>
      </c>
      <c r="B255" t="s">
        <v>18</v>
      </c>
      <c r="C255" t="s">
        <v>24</v>
      </c>
      <c r="D255" s="2">
        <v>45699</v>
      </c>
      <c r="E255" t="s">
        <v>14</v>
      </c>
      <c r="F255" t="s">
        <v>30</v>
      </c>
      <c r="G255">
        <v>54</v>
      </c>
      <c r="H255">
        <v>51</v>
      </c>
      <c r="I255">
        <v>4.4000000000000004</v>
      </c>
      <c r="J255">
        <v>2</v>
      </c>
      <c r="K255" t="s">
        <v>28</v>
      </c>
      <c r="L255" t="s">
        <v>17</v>
      </c>
    </row>
    <row r="256" spans="1:12" hidden="1" x14ac:dyDescent="0.25">
      <c r="A256">
        <v>1255</v>
      </c>
      <c r="B256" t="s">
        <v>36</v>
      </c>
      <c r="C256" t="s">
        <v>19</v>
      </c>
      <c r="D256" s="2">
        <v>45732</v>
      </c>
      <c r="E256" t="s">
        <v>27</v>
      </c>
      <c r="F256" t="s">
        <v>20</v>
      </c>
      <c r="G256">
        <v>53</v>
      </c>
      <c r="H256">
        <v>49</v>
      </c>
      <c r="I256">
        <v>8</v>
      </c>
      <c r="J256">
        <v>5</v>
      </c>
      <c r="K256" t="s">
        <v>21</v>
      </c>
      <c r="L256" t="s">
        <v>22</v>
      </c>
    </row>
    <row r="257" spans="1:12" hidden="1" x14ac:dyDescent="0.25">
      <c r="A257">
        <v>1256</v>
      </c>
      <c r="B257" t="s">
        <v>29</v>
      </c>
      <c r="C257" t="s">
        <v>19</v>
      </c>
      <c r="D257" s="2">
        <v>45763</v>
      </c>
      <c r="E257" t="s">
        <v>14</v>
      </c>
      <c r="F257" t="s">
        <v>15</v>
      </c>
      <c r="G257">
        <v>49</v>
      </c>
      <c r="H257">
        <v>48</v>
      </c>
      <c r="I257">
        <v>6.2</v>
      </c>
      <c r="J257">
        <v>1</v>
      </c>
      <c r="K257" t="s">
        <v>28</v>
      </c>
      <c r="L257" t="s">
        <v>17</v>
      </c>
    </row>
    <row r="258" spans="1:12" hidden="1" x14ac:dyDescent="0.25">
      <c r="A258">
        <v>1257</v>
      </c>
      <c r="B258" t="s">
        <v>18</v>
      </c>
      <c r="C258" t="s">
        <v>13</v>
      </c>
      <c r="D258" s="2">
        <v>45779</v>
      </c>
      <c r="E258" t="s">
        <v>35</v>
      </c>
      <c r="F258" t="s">
        <v>30</v>
      </c>
      <c r="G258">
        <v>44</v>
      </c>
      <c r="H258">
        <v>43</v>
      </c>
      <c r="I258">
        <v>8</v>
      </c>
      <c r="J258">
        <v>1</v>
      </c>
      <c r="K258" t="s">
        <v>28</v>
      </c>
      <c r="L258" t="s">
        <v>26</v>
      </c>
    </row>
    <row r="259" spans="1:12" hidden="1" x14ac:dyDescent="0.25">
      <c r="A259">
        <v>1258</v>
      </c>
      <c r="B259" t="s">
        <v>40</v>
      </c>
      <c r="C259" t="s">
        <v>13</v>
      </c>
      <c r="D259" s="2">
        <v>45685</v>
      </c>
      <c r="E259" t="s">
        <v>35</v>
      </c>
      <c r="F259" t="s">
        <v>20</v>
      </c>
      <c r="G259">
        <v>44</v>
      </c>
      <c r="H259">
        <v>38</v>
      </c>
      <c r="I259">
        <v>5.8</v>
      </c>
      <c r="J259">
        <v>5</v>
      </c>
      <c r="K259" t="s">
        <v>31</v>
      </c>
      <c r="L259" t="s">
        <v>17</v>
      </c>
    </row>
    <row r="260" spans="1:12" hidden="1" x14ac:dyDescent="0.25">
      <c r="A260">
        <v>1259</v>
      </c>
      <c r="B260" t="s">
        <v>38</v>
      </c>
      <c r="C260" t="s">
        <v>24</v>
      </c>
      <c r="D260" s="2">
        <v>45784</v>
      </c>
      <c r="E260" t="s">
        <v>35</v>
      </c>
      <c r="F260" t="s">
        <v>30</v>
      </c>
      <c r="G260">
        <v>52</v>
      </c>
      <c r="H260">
        <v>48</v>
      </c>
      <c r="I260">
        <v>9.6999999999999993</v>
      </c>
      <c r="J260">
        <v>4</v>
      </c>
      <c r="K260" t="s">
        <v>31</v>
      </c>
      <c r="L260" t="s">
        <v>17</v>
      </c>
    </row>
    <row r="261" spans="1:12" hidden="1" x14ac:dyDescent="0.25">
      <c r="A261">
        <v>1260</v>
      </c>
      <c r="B261" t="s">
        <v>23</v>
      </c>
      <c r="C261" t="s">
        <v>24</v>
      </c>
      <c r="D261" s="2">
        <v>45729</v>
      </c>
      <c r="E261" t="s">
        <v>35</v>
      </c>
      <c r="F261" t="s">
        <v>20</v>
      </c>
      <c r="G261">
        <v>27</v>
      </c>
      <c r="H261">
        <v>21</v>
      </c>
      <c r="I261">
        <v>5.4</v>
      </c>
      <c r="J261">
        <v>1</v>
      </c>
      <c r="K261" t="s">
        <v>16</v>
      </c>
      <c r="L261" t="s">
        <v>22</v>
      </c>
    </row>
    <row r="262" spans="1:12" hidden="1" x14ac:dyDescent="0.25">
      <c r="A262">
        <v>1261</v>
      </c>
      <c r="B262" t="s">
        <v>18</v>
      </c>
      <c r="C262" t="s">
        <v>13</v>
      </c>
      <c r="D262" s="2">
        <v>45779</v>
      </c>
      <c r="E262" t="s">
        <v>27</v>
      </c>
      <c r="F262" t="s">
        <v>30</v>
      </c>
      <c r="G262">
        <v>31</v>
      </c>
      <c r="H262">
        <v>31</v>
      </c>
      <c r="I262">
        <v>3.9</v>
      </c>
      <c r="J262">
        <v>4</v>
      </c>
      <c r="K262" t="s">
        <v>21</v>
      </c>
      <c r="L262" t="s">
        <v>26</v>
      </c>
    </row>
    <row r="263" spans="1:12" hidden="1" x14ac:dyDescent="0.25">
      <c r="A263">
        <v>1262</v>
      </c>
      <c r="B263" t="s">
        <v>39</v>
      </c>
      <c r="C263" t="s">
        <v>13</v>
      </c>
      <c r="D263" s="2">
        <v>45812</v>
      </c>
      <c r="E263" t="s">
        <v>14</v>
      </c>
      <c r="F263" t="s">
        <v>15</v>
      </c>
      <c r="G263">
        <v>39</v>
      </c>
      <c r="H263">
        <v>38</v>
      </c>
      <c r="I263">
        <v>6</v>
      </c>
      <c r="J263">
        <v>3</v>
      </c>
      <c r="K263" t="s">
        <v>21</v>
      </c>
      <c r="L263" t="s">
        <v>17</v>
      </c>
    </row>
    <row r="264" spans="1:12" hidden="1" x14ac:dyDescent="0.25">
      <c r="A264">
        <v>1263</v>
      </c>
      <c r="B264" t="s">
        <v>12</v>
      </c>
      <c r="C264" t="s">
        <v>13</v>
      </c>
      <c r="D264" s="2">
        <v>45718</v>
      </c>
      <c r="E264" t="s">
        <v>35</v>
      </c>
      <c r="F264" t="s">
        <v>30</v>
      </c>
      <c r="G264">
        <v>54</v>
      </c>
      <c r="H264">
        <v>53</v>
      </c>
      <c r="I264">
        <v>6.5</v>
      </c>
      <c r="J264">
        <v>4</v>
      </c>
      <c r="K264" t="s">
        <v>28</v>
      </c>
      <c r="L264" t="s">
        <v>22</v>
      </c>
    </row>
    <row r="265" spans="1:12" hidden="1" x14ac:dyDescent="0.25">
      <c r="A265">
        <v>1264</v>
      </c>
      <c r="B265" t="s">
        <v>36</v>
      </c>
      <c r="C265" t="s">
        <v>13</v>
      </c>
      <c r="D265" s="2">
        <v>45753</v>
      </c>
      <c r="E265" t="s">
        <v>35</v>
      </c>
      <c r="F265" t="s">
        <v>15</v>
      </c>
      <c r="G265">
        <v>51</v>
      </c>
      <c r="H265">
        <v>45</v>
      </c>
      <c r="I265">
        <v>8.4</v>
      </c>
      <c r="J265">
        <v>1</v>
      </c>
      <c r="K265" t="s">
        <v>16</v>
      </c>
      <c r="L265" t="s">
        <v>17</v>
      </c>
    </row>
    <row r="266" spans="1:12" x14ac:dyDescent="0.25">
      <c r="A266">
        <v>1265</v>
      </c>
      <c r="B266" t="s">
        <v>23</v>
      </c>
      <c r="C266" t="s">
        <v>24</v>
      </c>
      <c r="D266" s="2">
        <v>45836</v>
      </c>
      <c r="E266" t="s">
        <v>14</v>
      </c>
      <c r="F266" t="s">
        <v>25</v>
      </c>
      <c r="G266">
        <v>44</v>
      </c>
      <c r="H266">
        <v>41</v>
      </c>
      <c r="I266">
        <v>4.9000000000000004</v>
      </c>
      <c r="J266">
        <v>2</v>
      </c>
      <c r="K266" t="s">
        <v>21</v>
      </c>
      <c r="L266" t="s">
        <v>33</v>
      </c>
    </row>
    <row r="267" spans="1:12" hidden="1" x14ac:dyDescent="0.25">
      <c r="A267">
        <v>1266</v>
      </c>
      <c r="B267" t="s">
        <v>29</v>
      </c>
      <c r="C267" t="s">
        <v>24</v>
      </c>
      <c r="D267" s="2">
        <v>45674</v>
      </c>
      <c r="E267" t="s">
        <v>14</v>
      </c>
      <c r="F267" t="s">
        <v>15</v>
      </c>
      <c r="G267">
        <v>56</v>
      </c>
      <c r="H267">
        <v>54</v>
      </c>
      <c r="I267">
        <v>4.4000000000000004</v>
      </c>
      <c r="J267">
        <v>5</v>
      </c>
      <c r="K267" t="s">
        <v>21</v>
      </c>
      <c r="L267" t="s">
        <v>22</v>
      </c>
    </row>
    <row r="268" spans="1:12" hidden="1" x14ac:dyDescent="0.25">
      <c r="A268">
        <v>1267</v>
      </c>
      <c r="B268" t="s">
        <v>40</v>
      </c>
      <c r="C268" t="s">
        <v>24</v>
      </c>
      <c r="D268" s="2">
        <v>45779</v>
      </c>
      <c r="E268" t="s">
        <v>35</v>
      </c>
      <c r="F268" t="s">
        <v>20</v>
      </c>
      <c r="G268">
        <v>35</v>
      </c>
      <c r="H268">
        <v>34</v>
      </c>
      <c r="I268">
        <v>3.7</v>
      </c>
      <c r="J268">
        <v>2</v>
      </c>
      <c r="K268" t="s">
        <v>21</v>
      </c>
      <c r="L268" t="s">
        <v>37</v>
      </c>
    </row>
    <row r="269" spans="1:12" hidden="1" x14ac:dyDescent="0.25">
      <c r="A269">
        <v>1268</v>
      </c>
      <c r="B269" t="s">
        <v>12</v>
      </c>
      <c r="C269" t="s">
        <v>13</v>
      </c>
      <c r="D269" s="2">
        <v>45761</v>
      </c>
      <c r="E269" t="s">
        <v>35</v>
      </c>
      <c r="F269" t="s">
        <v>30</v>
      </c>
      <c r="G269">
        <v>48</v>
      </c>
      <c r="H269">
        <v>48</v>
      </c>
      <c r="I269">
        <v>6.9</v>
      </c>
      <c r="J269">
        <v>2</v>
      </c>
      <c r="K269" t="s">
        <v>21</v>
      </c>
      <c r="L269" t="s">
        <v>37</v>
      </c>
    </row>
    <row r="270" spans="1:12" hidden="1" x14ac:dyDescent="0.25">
      <c r="A270">
        <v>1269</v>
      </c>
      <c r="B270" t="s">
        <v>23</v>
      </c>
      <c r="C270" t="s">
        <v>19</v>
      </c>
      <c r="D270" s="2">
        <v>45711</v>
      </c>
      <c r="E270" t="s">
        <v>14</v>
      </c>
      <c r="F270" t="s">
        <v>30</v>
      </c>
      <c r="G270">
        <v>48</v>
      </c>
      <c r="H270">
        <v>44</v>
      </c>
      <c r="I270">
        <v>6.8</v>
      </c>
      <c r="J270">
        <v>3</v>
      </c>
      <c r="K270" t="s">
        <v>16</v>
      </c>
      <c r="L270" t="s">
        <v>17</v>
      </c>
    </row>
    <row r="271" spans="1:12" hidden="1" x14ac:dyDescent="0.25">
      <c r="A271">
        <v>1270</v>
      </c>
      <c r="B271" t="s">
        <v>36</v>
      </c>
      <c r="C271" t="s">
        <v>13</v>
      </c>
      <c r="D271" s="2">
        <v>45719</v>
      </c>
      <c r="E271" t="s">
        <v>14</v>
      </c>
      <c r="F271" t="s">
        <v>20</v>
      </c>
      <c r="G271">
        <v>36</v>
      </c>
      <c r="H271">
        <v>34</v>
      </c>
      <c r="I271">
        <v>9.3000000000000007</v>
      </c>
      <c r="J271">
        <v>4</v>
      </c>
      <c r="K271" t="s">
        <v>21</v>
      </c>
      <c r="L271" t="s">
        <v>33</v>
      </c>
    </row>
    <row r="272" spans="1:12" hidden="1" x14ac:dyDescent="0.25">
      <c r="A272">
        <v>1271</v>
      </c>
      <c r="B272" t="s">
        <v>40</v>
      </c>
      <c r="C272" t="s">
        <v>13</v>
      </c>
      <c r="D272" s="2">
        <v>45818</v>
      </c>
      <c r="E272" t="s">
        <v>14</v>
      </c>
      <c r="F272" t="s">
        <v>20</v>
      </c>
      <c r="G272">
        <v>53</v>
      </c>
      <c r="H272">
        <v>52</v>
      </c>
      <c r="I272">
        <v>9.6999999999999993</v>
      </c>
      <c r="J272">
        <v>1</v>
      </c>
      <c r="K272" t="s">
        <v>21</v>
      </c>
      <c r="L272" t="s">
        <v>17</v>
      </c>
    </row>
    <row r="273" spans="1:12" hidden="1" x14ac:dyDescent="0.25">
      <c r="A273">
        <v>1272</v>
      </c>
      <c r="B273" t="s">
        <v>40</v>
      </c>
      <c r="C273" t="s">
        <v>24</v>
      </c>
      <c r="D273" s="2">
        <v>45678</v>
      </c>
      <c r="E273" t="s">
        <v>14</v>
      </c>
      <c r="F273" t="s">
        <v>15</v>
      </c>
      <c r="G273">
        <v>36</v>
      </c>
      <c r="H273">
        <v>35</v>
      </c>
      <c r="I273">
        <v>5.8</v>
      </c>
      <c r="J273">
        <v>3</v>
      </c>
      <c r="K273" t="s">
        <v>28</v>
      </c>
      <c r="L273" t="s">
        <v>33</v>
      </c>
    </row>
    <row r="274" spans="1:12" hidden="1" x14ac:dyDescent="0.25">
      <c r="A274">
        <v>1273</v>
      </c>
      <c r="B274" t="s">
        <v>18</v>
      </c>
      <c r="C274" t="s">
        <v>24</v>
      </c>
      <c r="D274" s="2">
        <v>45800</v>
      </c>
      <c r="E274" t="s">
        <v>35</v>
      </c>
      <c r="F274" t="s">
        <v>15</v>
      </c>
      <c r="G274">
        <v>33</v>
      </c>
      <c r="H274">
        <v>29</v>
      </c>
      <c r="I274">
        <v>9</v>
      </c>
      <c r="J274">
        <v>3</v>
      </c>
      <c r="K274" t="s">
        <v>31</v>
      </c>
      <c r="L274" t="s">
        <v>26</v>
      </c>
    </row>
    <row r="275" spans="1:12" hidden="1" x14ac:dyDescent="0.25">
      <c r="A275">
        <v>1274</v>
      </c>
      <c r="B275" t="s">
        <v>32</v>
      </c>
      <c r="C275" t="s">
        <v>13</v>
      </c>
      <c r="D275" s="2">
        <v>45712</v>
      </c>
      <c r="E275" t="s">
        <v>14</v>
      </c>
      <c r="F275" t="s">
        <v>30</v>
      </c>
      <c r="G275">
        <v>35</v>
      </c>
      <c r="H275">
        <v>33</v>
      </c>
      <c r="I275">
        <v>8.6</v>
      </c>
      <c r="J275">
        <v>5</v>
      </c>
      <c r="K275" t="s">
        <v>16</v>
      </c>
      <c r="L275" t="s">
        <v>26</v>
      </c>
    </row>
    <row r="276" spans="1:12" hidden="1" x14ac:dyDescent="0.25">
      <c r="A276">
        <v>1275</v>
      </c>
      <c r="B276" t="s">
        <v>29</v>
      </c>
      <c r="C276" t="s">
        <v>13</v>
      </c>
      <c r="D276" s="2">
        <v>45796</v>
      </c>
      <c r="E276" t="s">
        <v>14</v>
      </c>
      <c r="F276" t="s">
        <v>30</v>
      </c>
      <c r="G276">
        <v>29</v>
      </c>
      <c r="H276">
        <v>23</v>
      </c>
      <c r="I276">
        <v>8.1999999999999993</v>
      </c>
      <c r="J276">
        <v>5</v>
      </c>
      <c r="K276" t="s">
        <v>31</v>
      </c>
      <c r="L276" t="s">
        <v>33</v>
      </c>
    </row>
    <row r="277" spans="1:12" x14ac:dyDescent="0.25">
      <c r="A277">
        <v>1276</v>
      </c>
      <c r="B277" t="s">
        <v>38</v>
      </c>
      <c r="C277" t="s">
        <v>13</v>
      </c>
      <c r="D277" s="2">
        <v>45794</v>
      </c>
      <c r="E277" t="s">
        <v>27</v>
      </c>
      <c r="F277" t="s">
        <v>25</v>
      </c>
      <c r="G277">
        <v>42</v>
      </c>
      <c r="H277">
        <v>36</v>
      </c>
      <c r="I277">
        <v>5.3</v>
      </c>
      <c r="J277">
        <v>4</v>
      </c>
      <c r="K277" t="s">
        <v>16</v>
      </c>
      <c r="L277" t="s">
        <v>17</v>
      </c>
    </row>
    <row r="278" spans="1:12" hidden="1" x14ac:dyDescent="0.25">
      <c r="A278">
        <v>1277</v>
      </c>
      <c r="B278" t="s">
        <v>40</v>
      </c>
      <c r="C278" t="s">
        <v>13</v>
      </c>
      <c r="D278" s="2">
        <v>45784</v>
      </c>
      <c r="E278" t="s">
        <v>27</v>
      </c>
      <c r="F278" t="s">
        <v>30</v>
      </c>
      <c r="G278">
        <v>32</v>
      </c>
      <c r="H278">
        <v>29</v>
      </c>
      <c r="I278">
        <v>5.9</v>
      </c>
      <c r="J278">
        <v>5</v>
      </c>
      <c r="K278" t="s">
        <v>16</v>
      </c>
      <c r="L278" t="s">
        <v>17</v>
      </c>
    </row>
    <row r="279" spans="1:12" hidden="1" x14ac:dyDescent="0.25">
      <c r="A279">
        <v>1278</v>
      </c>
      <c r="B279" t="s">
        <v>12</v>
      </c>
      <c r="C279" t="s">
        <v>19</v>
      </c>
      <c r="D279" s="2">
        <v>45736</v>
      </c>
      <c r="E279" t="s">
        <v>35</v>
      </c>
      <c r="F279" t="s">
        <v>30</v>
      </c>
      <c r="G279">
        <v>42</v>
      </c>
      <c r="H279">
        <v>40</v>
      </c>
      <c r="I279">
        <v>9.9</v>
      </c>
      <c r="J279">
        <v>5</v>
      </c>
      <c r="K279" t="s">
        <v>31</v>
      </c>
      <c r="L279" t="s">
        <v>37</v>
      </c>
    </row>
    <row r="280" spans="1:12" hidden="1" x14ac:dyDescent="0.25">
      <c r="A280">
        <v>1279</v>
      </c>
      <c r="B280" t="s">
        <v>36</v>
      </c>
      <c r="C280" t="s">
        <v>24</v>
      </c>
      <c r="D280" s="2">
        <v>45722</v>
      </c>
      <c r="E280" t="s">
        <v>14</v>
      </c>
      <c r="F280" t="s">
        <v>15</v>
      </c>
      <c r="G280">
        <v>51</v>
      </c>
      <c r="H280">
        <v>46</v>
      </c>
      <c r="I280">
        <v>5.5</v>
      </c>
      <c r="J280">
        <v>5</v>
      </c>
      <c r="K280" t="s">
        <v>31</v>
      </c>
      <c r="L280" t="s">
        <v>22</v>
      </c>
    </row>
    <row r="281" spans="1:12" hidden="1" x14ac:dyDescent="0.25">
      <c r="A281">
        <v>1280</v>
      </c>
      <c r="B281" t="s">
        <v>34</v>
      </c>
      <c r="C281" t="s">
        <v>19</v>
      </c>
      <c r="D281" s="2">
        <v>45747</v>
      </c>
      <c r="E281" t="s">
        <v>35</v>
      </c>
      <c r="F281" t="s">
        <v>20</v>
      </c>
      <c r="G281">
        <v>59</v>
      </c>
      <c r="H281">
        <v>58</v>
      </c>
      <c r="I281">
        <v>7</v>
      </c>
      <c r="J281">
        <v>5</v>
      </c>
      <c r="K281" t="s">
        <v>16</v>
      </c>
      <c r="L281" t="s">
        <v>33</v>
      </c>
    </row>
    <row r="282" spans="1:12" x14ac:dyDescent="0.25">
      <c r="A282">
        <v>1281</v>
      </c>
      <c r="B282" t="s">
        <v>38</v>
      </c>
      <c r="C282" t="s">
        <v>24</v>
      </c>
      <c r="D282" s="2">
        <v>45769</v>
      </c>
      <c r="E282" t="s">
        <v>27</v>
      </c>
      <c r="F282" t="s">
        <v>25</v>
      </c>
      <c r="G282">
        <v>35</v>
      </c>
      <c r="H282">
        <v>33</v>
      </c>
      <c r="I282">
        <v>7.7</v>
      </c>
      <c r="J282">
        <v>5</v>
      </c>
      <c r="K282" t="s">
        <v>28</v>
      </c>
      <c r="L282" t="s">
        <v>33</v>
      </c>
    </row>
    <row r="283" spans="1:12" hidden="1" x14ac:dyDescent="0.25">
      <c r="A283">
        <v>1282</v>
      </c>
      <c r="B283" t="s">
        <v>32</v>
      </c>
      <c r="C283" t="s">
        <v>24</v>
      </c>
      <c r="D283" s="2">
        <v>45726</v>
      </c>
      <c r="E283" t="s">
        <v>14</v>
      </c>
      <c r="F283" t="s">
        <v>20</v>
      </c>
      <c r="G283">
        <v>32</v>
      </c>
      <c r="H283">
        <v>26</v>
      </c>
      <c r="I283">
        <v>6.1</v>
      </c>
      <c r="J283">
        <v>3</v>
      </c>
      <c r="K283" t="s">
        <v>31</v>
      </c>
      <c r="L283" t="s">
        <v>26</v>
      </c>
    </row>
    <row r="284" spans="1:12" hidden="1" x14ac:dyDescent="0.25">
      <c r="A284">
        <v>1283</v>
      </c>
      <c r="B284" t="s">
        <v>32</v>
      </c>
      <c r="C284" t="s">
        <v>19</v>
      </c>
      <c r="D284" s="2">
        <v>45742</v>
      </c>
      <c r="E284" t="s">
        <v>35</v>
      </c>
      <c r="F284" t="s">
        <v>15</v>
      </c>
      <c r="G284">
        <v>28</v>
      </c>
      <c r="H284">
        <v>27</v>
      </c>
      <c r="I284">
        <v>5.6</v>
      </c>
      <c r="J284">
        <v>3</v>
      </c>
      <c r="K284" t="s">
        <v>21</v>
      </c>
      <c r="L284" t="s">
        <v>17</v>
      </c>
    </row>
    <row r="285" spans="1:12" hidden="1" x14ac:dyDescent="0.25">
      <c r="A285">
        <v>1284</v>
      </c>
      <c r="B285" t="s">
        <v>12</v>
      </c>
      <c r="C285" t="s">
        <v>19</v>
      </c>
      <c r="D285" s="2">
        <v>45804</v>
      </c>
      <c r="E285" t="s">
        <v>14</v>
      </c>
      <c r="F285" t="s">
        <v>30</v>
      </c>
      <c r="G285">
        <v>59</v>
      </c>
      <c r="H285">
        <v>55</v>
      </c>
      <c r="I285">
        <v>9.4</v>
      </c>
      <c r="J285">
        <v>2</v>
      </c>
      <c r="K285" t="s">
        <v>21</v>
      </c>
      <c r="L285" t="s">
        <v>37</v>
      </c>
    </row>
    <row r="286" spans="1:12" x14ac:dyDescent="0.25">
      <c r="A286">
        <v>1285</v>
      </c>
      <c r="B286" t="s">
        <v>12</v>
      </c>
      <c r="C286" t="s">
        <v>13</v>
      </c>
      <c r="D286" s="2">
        <v>45829</v>
      </c>
      <c r="E286" t="s">
        <v>27</v>
      </c>
      <c r="F286" t="s">
        <v>25</v>
      </c>
      <c r="G286">
        <v>34</v>
      </c>
      <c r="H286">
        <v>29</v>
      </c>
      <c r="I286">
        <v>4.4000000000000004</v>
      </c>
      <c r="J286">
        <v>5</v>
      </c>
      <c r="K286" t="s">
        <v>31</v>
      </c>
      <c r="L286" t="s">
        <v>22</v>
      </c>
    </row>
    <row r="287" spans="1:12" hidden="1" x14ac:dyDescent="0.25">
      <c r="A287">
        <v>1286</v>
      </c>
      <c r="B287" t="s">
        <v>39</v>
      </c>
      <c r="C287" t="s">
        <v>13</v>
      </c>
      <c r="D287" s="2">
        <v>45746</v>
      </c>
      <c r="E287" t="s">
        <v>27</v>
      </c>
      <c r="F287" t="s">
        <v>15</v>
      </c>
      <c r="G287">
        <v>37</v>
      </c>
      <c r="H287">
        <v>31</v>
      </c>
      <c r="I287">
        <v>9.6</v>
      </c>
      <c r="J287">
        <v>1</v>
      </c>
      <c r="K287" t="s">
        <v>16</v>
      </c>
      <c r="L287" t="s">
        <v>33</v>
      </c>
    </row>
    <row r="288" spans="1:12" x14ac:dyDescent="0.25">
      <c r="A288">
        <v>1287</v>
      </c>
      <c r="B288" t="s">
        <v>18</v>
      </c>
      <c r="C288" t="s">
        <v>24</v>
      </c>
      <c r="D288" s="2">
        <v>45833</v>
      </c>
      <c r="E288" t="s">
        <v>27</v>
      </c>
      <c r="F288" t="s">
        <v>25</v>
      </c>
      <c r="G288">
        <v>28</v>
      </c>
      <c r="H288">
        <v>26</v>
      </c>
      <c r="I288">
        <v>8.1999999999999993</v>
      </c>
      <c r="J288">
        <v>1</v>
      </c>
      <c r="K288" t="s">
        <v>21</v>
      </c>
      <c r="L288" t="s">
        <v>33</v>
      </c>
    </row>
    <row r="289" spans="1:12" x14ac:dyDescent="0.25">
      <c r="A289">
        <v>1288</v>
      </c>
      <c r="B289" t="s">
        <v>36</v>
      </c>
      <c r="C289" t="s">
        <v>13</v>
      </c>
      <c r="D289" s="2">
        <v>45659</v>
      </c>
      <c r="E289" t="s">
        <v>14</v>
      </c>
      <c r="F289" t="s">
        <v>25</v>
      </c>
      <c r="G289">
        <v>35</v>
      </c>
      <c r="H289">
        <v>33</v>
      </c>
      <c r="I289">
        <v>6.7</v>
      </c>
      <c r="J289">
        <v>1</v>
      </c>
      <c r="K289" t="s">
        <v>16</v>
      </c>
      <c r="L289" t="s">
        <v>22</v>
      </c>
    </row>
    <row r="290" spans="1:12" x14ac:dyDescent="0.25">
      <c r="A290">
        <v>1289</v>
      </c>
      <c r="B290" t="s">
        <v>40</v>
      </c>
      <c r="C290" t="s">
        <v>13</v>
      </c>
      <c r="D290" s="2">
        <v>45771</v>
      </c>
      <c r="E290" t="s">
        <v>14</v>
      </c>
      <c r="F290" t="s">
        <v>25</v>
      </c>
      <c r="G290">
        <v>52</v>
      </c>
      <c r="H290">
        <v>48</v>
      </c>
      <c r="I290">
        <v>7.9</v>
      </c>
      <c r="J290">
        <v>5</v>
      </c>
      <c r="K290" t="s">
        <v>21</v>
      </c>
      <c r="L290" t="s">
        <v>37</v>
      </c>
    </row>
    <row r="291" spans="1:12" hidden="1" x14ac:dyDescent="0.25">
      <c r="A291">
        <v>1290</v>
      </c>
      <c r="B291" t="s">
        <v>12</v>
      </c>
      <c r="C291" t="s">
        <v>24</v>
      </c>
      <c r="D291" s="2">
        <v>45683</v>
      </c>
      <c r="E291" t="s">
        <v>27</v>
      </c>
      <c r="F291" t="s">
        <v>20</v>
      </c>
      <c r="G291">
        <v>58</v>
      </c>
      <c r="H291">
        <v>54</v>
      </c>
      <c r="I291">
        <v>9.5</v>
      </c>
      <c r="J291">
        <v>2</v>
      </c>
      <c r="K291" t="s">
        <v>16</v>
      </c>
      <c r="L291" t="s">
        <v>37</v>
      </c>
    </row>
    <row r="292" spans="1:12" hidden="1" x14ac:dyDescent="0.25">
      <c r="A292">
        <v>1291</v>
      </c>
      <c r="B292" t="s">
        <v>34</v>
      </c>
      <c r="C292" t="s">
        <v>19</v>
      </c>
      <c r="D292" s="2">
        <v>45697</v>
      </c>
      <c r="E292" t="s">
        <v>35</v>
      </c>
      <c r="F292" t="s">
        <v>20</v>
      </c>
      <c r="G292">
        <v>30</v>
      </c>
      <c r="H292">
        <v>28</v>
      </c>
      <c r="I292">
        <v>4.3</v>
      </c>
      <c r="J292">
        <v>2</v>
      </c>
      <c r="K292" t="s">
        <v>31</v>
      </c>
      <c r="L292" t="s">
        <v>26</v>
      </c>
    </row>
    <row r="293" spans="1:12" hidden="1" x14ac:dyDescent="0.25">
      <c r="A293">
        <v>1292</v>
      </c>
      <c r="B293" t="s">
        <v>38</v>
      </c>
      <c r="C293" t="s">
        <v>13</v>
      </c>
      <c r="D293" s="2">
        <v>45661</v>
      </c>
      <c r="E293" t="s">
        <v>35</v>
      </c>
      <c r="F293" t="s">
        <v>20</v>
      </c>
      <c r="G293">
        <v>54</v>
      </c>
      <c r="H293">
        <v>54</v>
      </c>
      <c r="I293">
        <v>4.0999999999999996</v>
      </c>
      <c r="J293">
        <v>4</v>
      </c>
      <c r="K293" t="s">
        <v>28</v>
      </c>
      <c r="L293" t="s">
        <v>17</v>
      </c>
    </row>
    <row r="294" spans="1:12" hidden="1" x14ac:dyDescent="0.25">
      <c r="A294">
        <v>1293</v>
      </c>
      <c r="B294" t="s">
        <v>12</v>
      </c>
      <c r="C294" t="s">
        <v>19</v>
      </c>
      <c r="D294" s="2">
        <v>45742</v>
      </c>
      <c r="E294" t="s">
        <v>35</v>
      </c>
      <c r="F294" t="s">
        <v>15</v>
      </c>
      <c r="G294">
        <v>31</v>
      </c>
      <c r="H294">
        <v>30</v>
      </c>
      <c r="I294">
        <v>7.9</v>
      </c>
      <c r="J294">
        <v>5</v>
      </c>
      <c r="K294" t="s">
        <v>16</v>
      </c>
      <c r="L294" t="s">
        <v>26</v>
      </c>
    </row>
    <row r="295" spans="1:12" x14ac:dyDescent="0.25">
      <c r="A295">
        <v>1294</v>
      </c>
      <c r="B295" t="s">
        <v>40</v>
      </c>
      <c r="C295" t="s">
        <v>13</v>
      </c>
      <c r="D295" s="2">
        <v>45761</v>
      </c>
      <c r="E295" t="s">
        <v>14</v>
      </c>
      <c r="F295" t="s">
        <v>25</v>
      </c>
      <c r="G295">
        <v>44</v>
      </c>
      <c r="H295">
        <v>38</v>
      </c>
      <c r="I295">
        <v>9</v>
      </c>
      <c r="J295">
        <v>3</v>
      </c>
      <c r="K295" t="s">
        <v>16</v>
      </c>
      <c r="L295" t="s">
        <v>22</v>
      </c>
    </row>
    <row r="296" spans="1:12" x14ac:dyDescent="0.25">
      <c r="A296">
        <v>1295</v>
      </c>
      <c r="B296" t="s">
        <v>40</v>
      </c>
      <c r="C296" t="s">
        <v>13</v>
      </c>
      <c r="D296" s="2">
        <v>45788</v>
      </c>
      <c r="E296" t="s">
        <v>14</v>
      </c>
      <c r="F296" t="s">
        <v>25</v>
      </c>
      <c r="G296">
        <v>59</v>
      </c>
      <c r="H296">
        <v>57</v>
      </c>
      <c r="I296">
        <v>4.8</v>
      </c>
      <c r="J296">
        <v>1</v>
      </c>
      <c r="K296" t="s">
        <v>31</v>
      </c>
      <c r="L296" t="s">
        <v>33</v>
      </c>
    </row>
    <row r="297" spans="1:12" hidden="1" x14ac:dyDescent="0.25">
      <c r="A297">
        <v>1296</v>
      </c>
      <c r="B297" t="s">
        <v>23</v>
      </c>
      <c r="C297" t="s">
        <v>13</v>
      </c>
      <c r="D297" s="2">
        <v>45809</v>
      </c>
      <c r="E297" t="s">
        <v>14</v>
      </c>
      <c r="F297" t="s">
        <v>20</v>
      </c>
      <c r="G297">
        <v>41</v>
      </c>
      <c r="H297">
        <v>37</v>
      </c>
      <c r="I297">
        <v>3.9</v>
      </c>
      <c r="J297">
        <v>5</v>
      </c>
      <c r="K297" t="s">
        <v>28</v>
      </c>
      <c r="L297" t="s">
        <v>33</v>
      </c>
    </row>
    <row r="298" spans="1:12" hidden="1" x14ac:dyDescent="0.25">
      <c r="A298">
        <v>1297</v>
      </c>
      <c r="B298" t="s">
        <v>40</v>
      </c>
      <c r="C298" t="s">
        <v>24</v>
      </c>
      <c r="D298" s="2">
        <v>45708</v>
      </c>
      <c r="E298" t="s">
        <v>35</v>
      </c>
      <c r="F298" t="s">
        <v>30</v>
      </c>
      <c r="G298">
        <v>52</v>
      </c>
      <c r="H298">
        <v>52</v>
      </c>
      <c r="I298">
        <v>6.8</v>
      </c>
      <c r="J298">
        <v>2</v>
      </c>
      <c r="K298" t="s">
        <v>31</v>
      </c>
      <c r="L298" t="s">
        <v>33</v>
      </c>
    </row>
    <row r="299" spans="1:12" x14ac:dyDescent="0.25">
      <c r="A299">
        <v>1298</v>
      </c>
      <c r="B299" t="s">
        <v>18</v>
      </c>
      <c r="C299" t="s">
        <v>13</v>
      </c>
      <c r="D299" s="2">
        <v>45834</v>
      </c>
      <c r="E299" t="s">
        <v>35</v>
      </c>
      <c r="F299" t="s">
        <v>25</v>
      </c>
      <c r="G299">
        <v>41</v>
      </c>
      <c r="H299">
        <v>39</v>
      </c>
      <c r="I299">
        <v>8.1999999999999993</v>
      </c>
      <c r="J299">
        <v>3</v>
      </c>
      <c r="K299" t="s">
        <v>21</v>
      </c>
      <c r="L299" t="s">
        <v>22</v>
      </c>
    </row>
    <row r="300" spans="1:12" hidden="1" x14ac:dyDescent="0.25">
      <c r="A300">
        <v>1299</v>
      </c>
      <c r="B300" t="s">
        <v>32</v>
      </c>
      <c r="C300" t="s">
        <v>24</v>
      </c>
      <c r="D300" s="2">
        <v>45722</v>
      </c>
      <c r="E300" t="s">
        <v>35</v>
      </c>
      <c r="F300" t="s">
        <v>20</v>
      </c>
      <c r="G300">
        <v>37</v>
      </c>
      <c r="H300">
        <v>32</v>
      </c>
      <c r="I300">
        <v>9</v>
      </c>
      <c r="J300">
        <v>2</v>
      </c>
      <c r="K300" t="s">
        <v>16</v>
      </c>
      <c r="L300" t="s">
        <v>22</v>
      </c>
    </row>
    <row r="301" spans="1:12" x14ac:dyDescent="0.25">
      <c r="A301">
        <v>1300</v>
      </c>
      <c r="B301" t="s">
        <v>34</v>
      </c>
      <c r="C301" t="s">
        <v>19</v>
      </c>
      <c r="D301" s="2">
        <v>45800</v>
      </c>
      <c r="E301" t="s">
        <v>14</v>
      </c>
      <c r="F301" t="s">
        <v>25</v>
      </c>
      <c r="G301">
        <v>48</v>
      </c>
      <c r="H301">
        <v>44</v>
      </c>
      <c r="I301">
        <v>7</v>
      </c>
      <c r="J301">
        <v>4</v>
      </c>
      <c r="K301" t="s">
        <v>28</v>
      </c>
      <c r="L301" t="s">
        <v>17</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55BD2-48D4-4309-A445-57C2BA50559A}">
  <dimension ref="A1:N10"/>
  <sheetViews>
    <sheetView showGridLines="0" topLeftCell="A2" workbookViewId="0">
      <selection activeCell="K23" sqref="K23"/>
    </sheetView>
  </sheetViews>
  <sheetFormatPr defaultRowHeight="15" x14ac:dyDescent="0.25"/>
  <cols>
    <col min="1" max="1" width="23.7109375" bestFit="1" customWidth="1"/>
  </cols>
  <sheetData>
    <row r="1" spans="1:14" x14ac:dyDescent="0.25">
      <c r="A1" s="11" t="s">
        <v>49</v>
      </c>
      <c r="B1" s="12"/>
      <c r="C1" s="12"/>
      <c r="D1" s="12"/>
      <c r="E1" s="12"/>
      <c r="F1" s="12"/>
      <c r="G1" s="12"/>
      <c r="H1" s="12"/>
      <c r="I1" s="12"/>
      <c r="J1" s="12"/>
      <c r="K1" s="12"/>
      <c r="L1" s="12"/>
      <c r="M1" s="12"/>
      <c r="N1" s="12"/>
    </row>
    <row r="2" spans="1:14" x14ac:dyDescent="0.25">
      <c r="A2" s="12"/>
      <c r="B2" s="12"/>
      <c r="C2" s="12"/>
      <c r="D2" s="12"/>
      <c r="E2" s="12"/>
      <c r="F2" s="12"/>
      <c r="G2" s="12"/>
      <c r="H2" s="12"/>
      <c r="I2" s="12"/>
      <c r="J2" s="12"/>
      <c r="K2" s="12"/>
      <c r="L2" s="12"/>
      <c r="M2" s="12"/>
      <c r="N2" s="12"/>
    </row>
    <row r="4" spans="1:14" ht="15.75" thickBot="1" x14ac:dyDescent="0.3">
      <c r="A4" s="7" t="s">
        <v>42</v>
      </c>
      <c r="B4" s="8" t="s">
        <v>43</v>
      </c>
    </row>
    <row r="5" spans="1:14" ht="15.75" thickTop="1" x14ac:dyDescent="0.25">
      <c r="A5" s="3" t="s">
        <v>41</v>
      </c>
      <c r="B5" s="4">
        <f>SUM(CallCenter[Calls Handled])</f>
        <v>12992</v>
      </c>
    </row>
    <row r="6" spans="1:14" x14ac:dyDescent="0.25">
      <c r="A6" s="5" t="s">
        <v>44</v>
      </c>
      <c r="B6" s="6">
        <f>SUM(CallCenter[Calls Resolved])</f>
        <v>12087</v>
      </c>
    </row>
    <row r="7" spans="1:14" x14ac:dyDescent="0.25">
      <c r="A7" s="3" t="s">
        <v>45</v>
      </c>
      <c r="B7" s="9">
        <f>SUM(CallCenter[Calls Resolved])/SUM(CallCenter[Calls Handled])</f>
        <v>0.93034174876847286</v>
      </c>
    </row>
    <row r="8" spans="1:14" x14ac:dyDescent="0.25">
      <c r="A8" s="5" t="s">
        <v>46</v>
      </c>
      <c r="B8" s="6">
        <f>AVERAGE(CallCenter[Avg Handle Time (min)])</f>
        <v>6.874333333333337</v>
      </c>
    </row>
    <row r="9" spans="1:14" x14ac:dyDescent="0.25">
      <c r="A9" s="3" t="s">
        <v>47</v>
      </c>
      <c r="B9" s="4">
        <f>AVERAGE(CallCenter[Customer Rating])</f>
        <v>3.0666666666666669</v>
      </c>
    </row>
    <row r="10" spans="1:14" x14ac:dyDescent="0.25">
      <c r="A10" s="5" t="s">
        <v>48</v>
      </c>
      <c r="B10" s="10">
        <f>COUNTA(CallCenter[Agent])</f>
        <v>300</v>
      </c>
    </row>
  </sheetData>
  <mergeCells count="1">
    <mergeCell ref="A1:N2"/>
  </mergeCells>
  <conditionalFormatting sqref="A5:B10">
    <cfRule type="colorScale" priority="2">
      <colorScale>
        <cfvo type="min"/>
        <cfvo type="percentile" val="50"/>
        <cfvo type="max"/>
        <color rgb="FF63BE7B"/>
        <color rgb="FFFCFCFF"/>
        <color rgb="FFF8696B"/>
      </colorScale>
    </cfRule>
  </conditionalFormatting>
  <conditionalFormatting sqref="B10">
    <cfRule type="dataBar" priority="1">
      <dataBar>
        <cfvo type="min"/>
        <cfvo type="max"/>
        <color rgb="FF008AEF"/>
      </dataBar>
      <extLst>
        <ext xmlns:x14="http://schemas.microsoft.com/office/spreadsheetml/2009/9/main" uri="{B025F937-C7B1-47D3-B67F-A62EFF666E3E}">
          <x14:id>{C548FC76-D40C-4E6C-A0BA-50CDE84CDA67}</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C548FC76-D40C-4E6C-A0BA-50CDE84CDA67}">
            <x14:dataBar minLength="0" maxLength="100" border="1" negativeBarBorderColorSameAsPositive="0">
              <x14:cfvo type="autoMin"/>
              <x14:cfvo type="autoMax"/>
              <x14:borderColor rgb="FF008AEF"/>
              <x14:negativeFillColor rgb="FFFF0000"/>
              <x14:negativeBorderColor rgb="FFFF0000"/>
              <x14:axisColor rgb="FF000000"/>
            </x14:dataBar>
          </x14:cfRule>
          <xm:sqref>B10</xm:sqref>
        </x14:conditionalFormatting>
      </x14:conditionalFormattings>
    </ex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Call_Center_Data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anupama eemani</cp:lastModifiedBy>
  <dcterms:created xsi:type="dcterms:W3CDTF">2026-07-02T12:32:22Z</dcterms:created>
  <dcterms:modified xsi:type="dcterms:W3CDTF">2026-07-07T13:15:02Z</dcterms:modified>
</cp:coreProperties>
</file>