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3125dfab8cfb77b3/Documents/"/>
    </mc:Choice>
  </mc:AlternateContent>
  <xr:revisionPtr revIDLastSave="1" documentId="8_{1C094C38-B09C-460F-B577-7FDCBEE48CCC}" xr6:coauthVersionLast="47" xr6:coauthVersionMax="47" xr10:uidLastSave="{D64AF7FB-D9B1-4939-BFE3-70B96B3AF94C}"/>
  <bookViews>
    <workbookView xWindow="-120" yWindow="-120" windowWidth="20730" windowHeight="11040" activeTab="1" xr2:uid="{BC6E8FC4-D3A1-4E5E-8D98-01BD6AE13EED}"/>
  </bookViews>
  <sheets>
    <sheet name="Sheet4" sheetId="4" r:id="rId1"/>
    <sheet name="Dashboard" sheetId="5" r:id="rId2"/>
    <sheet name="Sheet3" sheetId="3" r:id="rId3"/>
  </sheets>
  <definedNames>
    <definedName name="Slicer_Attrition">#N/A</definedName>
    <definedName name="Slicer_Department">#N/A</definedName>
    <definedName name="Slicer_Gender">#N/A</definedName>
    <definedName name="Slicer_Location">#N/A</definedName>
    <definedName name="Slicer_Performanc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7" i="3" l="1"/>
  <c r="N6" i="3"/>
  <c r="N5" i="3"/>
  <c r="N4" i="3"/>
  <c r="N3" i="3"/>
</calcChain>
</file>

<file path=xl/sharedStrings.xml><?xml version="1.0" encoding="utf-8"?>
<sst xmlns="http://schemas.openxmlformats.org/spreadsheetml/2006/main" count="2489" uniqueCount="361">
  <si>
    <t>EmployeeID</t>
  </si>
  <si>
    <t>Name</t>
  </si>
  <si>
    <t>Gender</t>
  </si>
  <si>
    <t>Age</t>
  </si>
  <si>
    <t>Department</t>
  </si>
  <si>
    <t>JobRole</t>
  </si>
  <si>
    <t>Salary</t>
  </si>
  <si>
    <t>Experience</t>
  </si>
  <si>
    <t>JoiningDate</t>
  </si>
  <si>
    <t>Performance</t>
  </si>
  <si>
    <t>Attrition</t>
  </si>
  <si>
    <t>Location</t>
  </si>
  <si>
    <t>Vijay</t>
  </si>
  <si>
    <t>Female</t>
  </si>
  <si>
    <t>Operations</t>
  </si>
  <si>
    <t>Operations Executive</t>
  </si>
  <si>
    <t>21-Sep-2025</t>
  </si>
  <si>
    <t>Good</t>
  </si>
  <si>
    <t>No</t>
  </si>
  <si>
    <t>Pune</t>
  </si>
  <si>
    <t>Priya</t>
  </si>
  <si>
    <t>Coordinator</t>
  </si>
  <si>
    <t>21-May-2018</t>
  </si>
  <si>
    <t>Average</t>
  </si>
  <si>
    <t>Hyderabad</t>
  </si>
  <si>
    <t>Divya</t>
  </si>
  <si>
    <t>Male</t>
  </si>
  <si>
    <t>IT</t>
  </si>
  <si>
    <t>Data Analyst</t>
  </si>
  <si>
    <t>10-Aug-2019</t>
  </si>
  <si>
    <t>Pooja</t>
  </si>
  <si>
    <t>16-Dec-2022</t>
  </si>
  <si>
    <t>Delhi</t>
  </si>
  <si>
    <t>Meena</t>
  </si>
  <si>
    <t>24-Oct-2020</t>
  </si>
  <si>
    <t>Marketing</t>
  </si>
  <si>
    <t>SEO Specialist</t>
  </si>
  <si>
    <t>06-Mar-2019</t>
  </si>
  <si>
    <t>Developer</t>
  </si>
  <si>
    <t>03-Dec-2021</t>
  </si>
  <si>
    <t>Suresh</t>
  </si>
  <si>
    <t>12-May-2022</t>
  </si>
  <si>
    <t>Manoj</t>
  </si>
  <si>
    <t>Sales</t>
  </si>
  <si>
    <t>Sales Executive</t>
  </si>
  <si>
    <t>24-Dec-2023</t>
  </si>
  <si>
    <t>Needs Improvement</t>
  </si>
  <si>
    <t>HR</t>
  </si>
  <si>
    <t>Recruiter</t>
  </si>
  <si>
    <t>29-Sep-2019</t>
  </si>
  <si>
    <t>Excellent</t>
  </si>
  <si>
    <t>01-Feb-2020</t>
  </si>
  <si>
    <t>Mumbai</t>
  </si>
  <si>
    <t>Rohit</t>
  </si>
  <si>
    <t>19-Jan-2024</t>
  </si>
  <si>
    <t>Yes</t>
  </si>
  <si>
    <t>15-Dec-2022</t>
  </si>
  <si>
    <t>Amit</t>
  </si>
  <si>
    <t>09-Apr-2021</t>
  </si>
  <si>
    <t>Chennai</t>
  </si>
  <si>
    <t>Rahul</t>
  </si>
  <si>
    <t>QA Engineer</t>
  </si>
  <si>
    <t>25-Mar-2023</t>
  </si>
  <si>
    <t>Nisha</t>
  </si>
  <si>
    <t>Finance</t>
  </si>
  <si>
    <t>Financial Analyst</t>
  </si>
  <si>
    <t>09-Oct-2019</t>
  </si>
  <si>
    <t>16-Aug-2020</t>
  </si>
  <si>
    <t>Bangalore</t>
  </si>
  <si>
    <t>HR Executive</t>
  </si>
  <si>
    <t>03-May-2025</t>
  </si>
  <si>
    <t>Kiran</t>
  </si>
  <si>
    <t>19-Apr-2025</t>
  </si>
  <si>
    <t>Neha</t>
  </si>
  <si>
    <t>10-Jul-2019</t>
  </si>
  <si>
    <t>23-Nov-2024</t>
  </si>
  <si>
    <t>17-Apr-2020</t>
  </si>
  <si>
    <t>11-Sep-2020</t>
  </si>
  <si>
    <t>Ravi</t>
  </si>
  <si>
    <t>23-Dec-2021</t>
  </si>
  <si>
    <t>08-Mar-2020</t>
  </si>
  <si>
    <t>07-Jan-2019</t>
  </si>
  <si>
    <t>Accountant</t>
  </si>
  <si>
    <t>31-Jul-2023</t>
  </si>
  <si>
    <t>31-Aug-2025</t>
  </si>
  <si>
    <t>Akash</t>
  </si>
  <si>
    <t>09-Jul-2022</t>
  </si>
  <si>
    <t>Anjali</t>
  </si>
  <si>
    <t>Sales Manager</t>
  </si>
  <si>
    <t>16-Feb-2024</t>
  </si>
  <si>
    <t>25-Mar-2022</t>
  </si>
  <si>
    <t>01-Nov-2018</t>
  </si>
  <si>
    <t>Kavya</t>
  </si>
  <si>
    <t>16-Dec-2019</t>
  </si>
  <si>
    <t>01-Sep-2019</t>
  </si>
  <si>
    <t>13-May-2023</t>
  </si>
  <si>
    <t>31-Dec-2023</t>
  </si>
  <si>
    <t>10-Mar-2024</t>
  </si>
  <si>
    <t>29-Nov-2025</t>
  </si>
  <si>
    <t>13-Oct-2019</t>
  </si>
  <si>
    <t>Sneha</t>
  </si>
  <si>
    <t>08-Jul-2020</t>
  </si>
  <si>
    <t>01-Jan-2025</t>
  </si>
  <si>
    <t>Marketing Executive</t>
  </si>
  <si>
    <t>19-Dec-2022</t>
  </si>
  <si>
    <t>27-Dec-2021</t>
  </si>
  <si>
    <t>29-Aug-2025</t>
  </si>
  <si>
    <t>05-May-2024</t>
  </si>
  <si>
    <t>10-Apr-2021</t>
  </si>
  <si>
    <t>17-Nov-2023</t>
  </si>
  <si>
    <t>27-Nov-2022</t>
  </si>
  <si>
    <t>Asha</t>
  </si>
  <si>
    <t>03-Sep-2025</t>
  </si>
  <si>
    <t>23-Mar-2024</t>
  </si>
  <si>
    <t>04-Jun-2024</t>
  </si>
  <si>
    <t>19-Mar-2021</t>
  </si>
  <si>
    <t>14-Oct-2020</t>
  </si>
  <si>
    <t>04-Apr-2023</t>
  </si>
  <si>
    <t>17-Mar-2020</t>
  </si>
  <si>
    <t>19-Aug-2025</t>
  </si>
  <si>
    <t>06-May-2023</t>
  </si>
  <si>
    <t>15-Apr-2021</t>
  </si>
  <si>
    <t>20-Jul-2022</t>
  </si>
  <si>
    <t>15-Aug-2024</t>
  </si>
  <si>
    <t>12-Jan-2025</t>
  </si>
  <si>
    <t>13-Apr-2023</t>
  </si>
  <si>
    <t>03-May-2021</t>
  </si>
  <si>
    <t>31-Jan-2023</t>
  </si>
  <si>
    <t>24-Oct-2024</t>
  </si>
  <si>
    <t>16-Oct-2023</t>
  </si>
  <si>
    <t>12-Jul-2024</t>
  </si>
  <si>
    <t>06-Jan-2021</t>
  </si>
  <si>
    <t>28-May-2023</t>
  </si>
  <si>
    <t>26-Nov-2018</t>
  </si>
  <si>
    <t>04-Mar-2024</t>
  </si>
  <si>
    <t>24-Feb-2022</t>
  </si>
  <si>
    <t>17-Aug-2019</t>
  </si>
  <si>
    <t>30-Aug-2023</t>
  </si>
  <si>
    <t>20-Jul-2025</t>
  </si>
  <si>
    <t>18-Mar-2019</t>
  </si>
  <si>
    <t>25-Jul-2022</t>
  </si>
  <si>
    <t>17-Sep-2020</t>
  </si>
  <si>
    <t>17-Sep-2018</t>
  </si>
  <si>
    <t>11-Jun-2019</t>
  </si>
  <si>
    <t>25-May-2022</t>
  </si>
  <si>
    <t>08-Mar-2026</t>
  </si>
  <si>
    <t>03-Sep-2020</t>
  </si>
  <si>
    <t>10-Jan-2026</t>
  </si>
  <si>
    <t>08-Jan-2022</t>
  </si>
  <si>
    <t>05-Jan-2024</t>
  </si>
  <si>
    <t>08-Aug-2023</t>
  </si>
  <si>
    <t>17-Jan-2019</t>
  </si>
  <si>
    <t>11-Jan-2023</t>
  </si>
  <si>
    <t>Arjun</t>
  </si>
  <si>
    <t>29-Jul-2020</t>
  </si>
  <si>
    <t>21-May-2023</t>
  </si>
  <si>
    <t>27-Mar-2021</t>
  </si>
  <si>
    <t>28-Oct-2018</t>
  </si>
  <si>
    <t>27-May-2022</t>
  </si>
  <si>
    <t>24-Feb-2019</t>
  </si>
  <si>
    <t>29-Apr-2020</t>
  </si>
  <si>
    <t>08-Sep-2020</t>
  </si>
  <si>
    <t>23-Nov-2025</t>
  </si>
  <si>
    <t>26-Jan-2022</t>
  </si>
  <si>
    <t>02-May-2019</t>
  </si>
  <si>
    <t>12-Apr-2022</t>
  </si>
  <si>
    <t>31-Jan-2018</t>
  </si>
  <si>
    <t>06-Jan-2020</t>
  </si>
  <si>
    <t>09-Apr-2022</t>
  </si>
  <si>
    <t>05-May-2019</t>
  </si>
  <si>
    <t>11-Oct-2019</t>
  </si>
  <si>
    <t>04-Jul-2023</t>
  </si>
  <si>
    <t>04-Dec-2018</t>
  </si>
  <si>
    <t>24-Apr-2025</t>
  </si>
  <si>
    <t>07-Sep-2019</t>
  </si>
  <si>
    <t>06-Jun-2025</t>
  </si>
  <si>
    <t>18-Apr-2020</t>
  </si>
  <si>
    <t>07-Feb-2025</t>
  </si>
  <si>
    <t>01-May-2022</t>
  </si>
  <si>
    <t>26-Jul-2022</t>
  </si>
  <si>
    <t>22-Jan-2026</t>
  </si>
  <si>
    <t>02-Oct-2020</t>
  </si>
  <si>
    <t>26-Apr-2022</t>
  </si>
  <si>
    <t>02-Sep-2023</t>
  </si>
  <si>
    <t>14-Jan-2021</t>
  </si>
  <si>
    <t>22-Jun-2020</t>
  </si>
  <si>
    <t>20-Nov-2024</t>
  </si>
  <si>
    <t>06-Dec-2020</t>
  </si>
  <si>
    <t>18-Jun-2022</t>
  </si>
  <si>
    <t>05-Jul-2022</t>
  </si>
  <si>
    <t>21-Jan-2024</t>
  </si>
  <si>
    <t>04-Aug-2024</t>
  </si>
  <si>
    <t>10-Jul-2018</t>
  </si>
  <si>
    <t>12-Oct-2020</t>
  </si>
  <si>
    <t>19-Sep-2024</t>
  </si>
  <si>
    <t>07-Sep-2022</t>
  </si>
  <si>
    <t>26-Jun-2018</t>
  </si>
  <si>
    <t>28-Feb-2022</t>
  </si>
  <si>
    <t>17-Dec-2020</t>
  </si>
  <si>
    <t>23-Oct-2022</t>
  </si>
  <si>
    <t>07-Nov-2019</t>
  </si>
  <si>
    <t>28-Oct-2021</t>
  </si>
  <si>
    <t>29-Mar-2022</t>
  </si>
  <si>
    <t>04-May-2023</t>
  </si>
  <si>
    <t>27-Apr-2022</t>
  </si>
  <si>
    <t>07-May-2019</t>
  </si>
  <si>
    <t>13-Sep-2018</t>
  </si>
  <si>
    <t>19-Nov-2019</t>
  </si>
  <si>
    <t>23-Mar-2023</t>
  </si>
  <si>
    <t>28-Jan-2023</t>
  </si>
  <si>
    <t>14-Jan-2025</t>
  </si>
  <si>
    <t>12-Mar-2022</t>
  </si>
  <si>
    <t>22-Dec-2025</t>
  </si>
  <si>
    <t>22-Feb-2018</t>
  </si>
  <si>
    <t>28-Jun-2021</t>
  </si>
  <si>
    <t>20-Sep-2018</t>
  </si>
  <si>
    <t>01-Mar-2022</t>
  </si>
  <si>
    <t>03-Feb-2021</t>
  </si>
  <si>
    <t>08-Jul-2021</t>
  </si>
  <si>
    <t>14-Jun-2019</t>
  </si>
  <si>
    <t>21-Nov-2019</t>
  </si>
  <si>
    <t>15-Aug-2023</t>
  </si>
  <si>
    <t>02-Nov-2022</t>
  </si>
  <si>
    <t>09-Mar-2024</t>
  </si>
  <si>
    <t>22-Dec-2022</t>
  </si>
  <si>
    <t>16-Apr-2018</t>
  </si>
  <si>
    <t>27-Dec-2020</t>
  </si>
  <si>
    <t>30-Jul-2023</t>
  </si>
  <si>
    <t>19-Mar-2025</t>
  </si>
  <si>
    <t>30-Aug-2024</t>
  </si>
  <si>
    <t>18-Apr-2021</t>
  </si>
  <si>
    <t>31-Jan-2021</t>
  </si>
  <si>
    <t>08-Dec-2018</t>
  </si>
  <si>
    <t>30-Sep-2023</t>
  </si>
  <si>
    <t>01-Jan-2018</t>
  </si>
  <si>
    <t>12-Mar-2020</t>
  </si>
  <si>
    <t>10-Aug-2022</t>
  </si>
  <si>
    <t>23-May-2024</t>
  </si>
  <si>
    <t>01-Aug-2022</t>
  </si>
  <si>
    <t>04-Jul-2019</t>
  </si>
  <si>
    <t>11-Jun-2022</t>
  </si>
  <si>
    <t>20-Aug-2018</t>
  </si>
  <si>
    <t>20-Jul-2019</t>
  </si>
  <si>
    <t>30-Dec-2018</t>
  </si>
  <si>
    <t>23-May-2023</t>
  </si>
  <si>
    <t>20-Dec-2021</t>
  </si>
  <si>
    <t>13-Sep-2023</t>
  </si>
  <si>
    <t>22-Nov-2021</t>
  </si>
  <si>
    <t>15-Jul-2022</t>
  </si>
  <si>
    <t>03-Jun-2024</t>
  </si>
  <si>
    <t>18-Jun-2025</t>
  </si>
  <si>
    <t>30-Aug-2025</t>
  </si>
  <si>
    <t>03-Jul-2018</t>
  </si>
  <si>
    <t>13-Jun-2020</t>
  </si>
  <si>
    <t>23-Jan-2023</t>
  </si>
  <si>
    <t>04-May-2022</t>
  </si>
  <si>
    <t>01-Jan-2022</t>
  </si>
  <si>
    <t>25-Dec-2023</t>
  </si>
  <si>
    <t>13-Jan-2021</t>
  </si>
  <si>
    <t>24-Jan-2019</t>
  </si>
  <si>
    <t>06-Dec-2023</t>
  </si>
  <si>
    <t>03-Jul-2020</t>
  </si>
  <si>
    <t>03-Oct-2021</t>
  </si>
  <si>
    <t>04-Nov-2022</t>
  </si>
  <si>
    <t>28-Apr-2025</t>
  </si>
  <si>
    <t>09-Mar-2021</t>
  </si>
  <si>
    <t>03-Dec-2020</t>
  </si>
  <si>
    <t>30-Sep-2020</t>
  </si>
  <si>
    <t>12-May-2018</t>
  </si>
  <si>
    <t>21-Jan-2025</t>
  </si>
  <si>
    <t>23-May-2019</t>
  </si>
  <si>
    <t>29-May-2020</t>
  </si>
  <si>
    <t>27-Apr-2023</t>
  </si>
  <si>
    <t>29-Jan-2022</t>
  </si>
  <si>
    <t>18-Nov-2024</t>
  </si>
  <si>
    <t>03-Jan-2020</t>
  </si>
  <si>
    <t>17-Jan-2023</t>
  </si>
  <si>
    <t>10-Feb-2020</t>
  </si>
  <si>
    <t>16-Mar-2024</t>
  </si>
  <si>
    <t>15-Dec-2020</t>
  </si>
  <si>
    <t>04-Jan-2019</t>
  </si>
  <si>
    <t>22-Dec-2019</t>
  </si>
  <si>
    <t>27-Oct-2020</t>
  </si>
  <si>
    <t>01-Jun-2022</t>
  </si>
  <si>
    <t>13-Dec-2021</t>
  </si>
  <si>
    <t>09-Sep-2021</t>
  </si>
  <si>
    <t>18-Feb-2020</t>
  </si>
  <si>
    <t>06-Aug-2021</t>
  </si>
  <si>
    <t>07-Oct-2023</t>
  </si>
  <si>
    <t>28-Jul-2025</t>
  </si>
  <si>
    <t>08-Mar-2025</t>
  </si>
  <si>
    <t>26-Sep-2025</t>
  </si>
  <si>
    <t>10-Aug-2024</t>
  </si>
  <si>
    <t>31-Oct-2022</t>
  </si>
  <si>
    <t>11-May-2023</t>
  </si>
  <si>
    <t>29-Dec-2018</t>
  </si>
  <si>
    <t>19-Dec-2024</t>
  </si>
  <si>
    <t>19-Dec-2018</t>
  </si>
  <si>
    <t>19-Jan-2023</t>
  </si>
  <si>
    <t>03-May-2022</t>
  </si>
  <si>
    <t>14-Jul-2025</t>
  </si>
  <si>
    <t>26-Oct-2020</t>
  </si>
  <si>
    <t>03-Oct-2019</t>
  </si>
  <si>
    <t>24-Oct-2022</t>
  </si>
  <si>
    <t>07-Aug-2023</t>
  </si>
  <si>
    <t>22-Jun-2018</t>
  </si>
  <si>
    <t>08-Jan-2018</t>
  </si>
  <si>
    <t>01-Nov-2024</t>
  </si>
  <si>
    <t>25-Oct-2018</t>
  </si>
  <si>
    <t>01-Feb-2021</t>
  </si>
  <si>
    <t>24-Feb-2026</t>
  </si>
  <si>
    <t>31-May-2019</t>
  </si>
  <si>
    <t>13-Oct-2021</t>
  </si>
  <si>
    <t>21-Oct-2023</t>
  </si>
  <si>
    <t>17-Jun-2023</t>
  </si>
  <si>
    <t>10-Oct-2020</t>
  </si>
  <si>
    <t>23-Nov-2020</t>
  </si>
  <si>
    <t>11-Jan-2026</t>
  </si>
  <si>
    <t>18-Sep-2020</t>
  </si>
  <si>
    <t>06-May-2020</t>
  </si>
  <si>
    <t>16-Jul-2018</t>
  </si>
  <si>
    <t>07-Sep-2018</t>
  </si>
  <si>
    <t>27-Apr-2024</t>
  </si>
  <si>
    <t>10-Oct-2023</t>
  </si>
  <si>
    <t>05-Jun-2025</t>
  </si>
  <si>
    <t>29-May-2024</t>
  </si>
  <si>
    <t>16-Aug-2024</t>
  </si>
  <si>
    <t>24-Jul-2025</t>
  </si>
  <si>
    <t>11-Feb-2020</t>
  </si>
  <si>
    <t>26-Apr-2018</t>
  </si>
  <si>
    <t>28-Feb-2025</t>
  </si>
  <si>
    <t>16-Mar-2022</t>
  </si>
  <si>
    <t>20-Feb-2020</t>
  </si>
  <si>
    <t>30-Oct-2020</t>
  </si>
  <si>
    <t>26-Jun-2022</t>
  </si>
  <si>
    <t>25-Apr-2018</t>
  </si>
  <si>
    <t>16-Feb-2023</t>
  </si>
  <si>
    <t>14-Oct-2024</t>
  </si>
  <si>
    <t>04-Dec-2021</t>
  </si>
  <si>
    <t>20-Sep-2021</t>
  </si>
  <si>
    <t>25-May-2019</t>
  </si>
  <si>
    <t>11-Jul-2024</t>
  </si>
  <si>
    <t>05-Oct-2022</t>
  </si>
  <si>
    <t>27-Jan-2018</t>
  </si>
  <si>
    <t>08-Dec-2020</t>
  </si>
  <si>
    <t>17-Dec-2025</t>
  </si>
  <si>
    <t>Row Labels</t>
  </si>
  <si>
    <t>(blank)</t>
  </si>
  <si>
    <t>Grand Total</t>
  </si>
  <si>
    <t>Count of EmployeeID</t>
  </si>
  <si>
    <t>Average of Salary</t>
  </si>
  <si>
    <t>HR ANALYTICS DASHBOARD</t>
  </si>
  <si>
    <t>A</t>
  </si>
  <si>
    <t>B</t>
  </si>
  <si>
    <t>Total Employees</t>
  </si>
  <si>
    <t>Average Salary</t>
  </si>
  <si>
    <t>Average Experience</t>
  </si>
  <si>
    <t>Attrition Count</t>
  </si>
  <si>
    <t>Attrition Rate</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</si>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</sst>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0"/>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0"/>
      <color theme="1"/>
      <name val="Arial Unicode MS"/>
    </font>
    <font>
      <sz val="8"/>
      <name val="Calibri"/>
      <family val="2"/>
      <scheme val="minor"/>
    </font>
    <font>
      <sz val="24"/>
      <color theme="0"/>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tint="-0.499984740745262"/>
        <bgColor indexed="64"/>
      </patternFill>
    </fill>
  </fills>
  <borders count="7">
    <border>
      <left/>
      <right/>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right style="thin">
        <color theme="0"/>
      </right>
      <top/>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0" fontId="1" fillId="2" borderId="0" xfId="0" applyFont="1" applyFill="1"/>
    <xf numFmtId="0" fontId="1" fillId="2" borderId="1" xfId="0" applyFont="1" applyFill="1" applyBorder="1"/>
    <xf numFmtId="0" fontId="0" fillId="3" borderId="2" xfId="0" applyFill="1" applyBorder="1"/>
    <xf numFmtId="0" fontId="0" fillId="3" borderId="3" xfId="0" applyFill="1" applyBorder="1"/>
    <xf numFmtId="0" fontId="0" fillId="4" borderId="4" xfId="0" applyFill="1" applyBorder="1"/>
    <xf numFmtId="0" fontId="0" fillId="4" borderId="5" xfId="0" applyFill="1" applyBorder="1"/>
    <xf numFmtId="0" fontId="0" fillId="3" borderId="4" xfId="0" applyFill="1" applyBorder="1"/>
    <xf numFmtId="0" fontId="0" fillId="3" borderId="5"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3" fillId="0" borderId="0" xfId="0" applyFont="1" applyAlignment="1">
      <alignment horizontal="center" vertical="center" wrapText="1"/>
    </xf>
    <xf numFmtId="0" fontId="3" fillId="0" borderId="0" xfId="0" applyFont="1" applyAlignment="1">
      <alignment horizontal="right" vertical="center" wrapText="1"/>
    </xf>
    <xf numFmtId="0" fontId="0" fillId="0" borderId="0" xfId="0" applyAlignment="1">
      <alignment vertical="center" wrapText="1"/>
    </xf>
    <xf numFmtId="0" fontId="5" fillId="0" borderId="0" xfId="0" applyFont="1" applyAlignment="1">
      <alignment horizontal="right" vertical="center" wrapText="1"/>
    </xf>
    <xf numFmtId="0" fontId="3" fillId="0" borderId="0" xfId="0" applyFont="1" applyAlignment="1">
      <alignment vertical="center" wrapText="1"/>
    </xf>
    <xf numFmtId="0" fontId="1" fillId="2" borderId="6" xfId="0" applyFont="1" applyFill="1" applyBorder="1"/>
    <xf numFmtId="9" fontId="5" fillId="0" borderId="0" xfId="1" applyFont="1" applyAlignment="1">
      <alignment horizontal="right" vertical="center" wrapText="1"/>
    </xf>
    <xf numFmtId="0" fontId="7" fillId="5" borderId="0" xfId="0" applyFont="1" applyFill="1" applyAlignment="1">
      <alignment horizontal="center"/>
    </xf>
    <xf numFmtId="0" fontId="4" fillId="5" borderId="0" xfId="0" applyFont="1" applyFill="1" applyAlignment="1">
      <alignment horizontal="center"/>
    </xf>
  </cellXfs>
  <cellStyles count="2">
    <cellStyle name="Normal" xfId="0" builtinId="0"/>
    <cellStyle name="Percent" xfId="1"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51256474365625"/>
          <c:y val="0.35774743911661139"/>
          <c:w val="0.57251516833660621"/>
          <c:h val="0.23722202228801512"/>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Finance</c:v>
                </c:pt>
                <c:pt idx="1">
                  <c:v>HR</c:v>
                </c:pt>
                <c:pt idx="2">
                  <c:v>IT</c:v>
                </c:pt>
                <c:pt idx="3">
                  <c:v>Marketing</c:v>
                </c:pt>
                <c:pt idx="4">
                  <c:v>Operations</c:v>
                </c:pt>
                <c:pt idx="5">
                  <c:v>Sales</c:v>
                </c:pt>
                <c:pt idx="6">
                  <c:v>(blank)</c:v>
                </c:pt>
              </c:strCache>
            </c:strRef>
          </c:cat>
          <c:val>
            <c:numRef>
              <c:f>Sheet4!$B$4:$B$11</c:f>
              <c:numCache>
                <c:formatCode>General</c:formatCode>
                <c:ptCount val="7"/>
                <c:pt idx="0">
                  <c:v>49</c:v>
                </c:pt>
                <c:pt idx="1">
                  <c:v>61</c:v>
                </c:pt>
                <c:pt idx="2">
                  <c:v>36</c:v>
                </c:pt>
                <c:pt idx="3">
                  <c:v>43</c:v>
                </c:pt>
                <c:pt idx="4">
                  <c:v>55</c:v>
                </c:pt>
                <c:pt idx="5">
                  <c:v>56</c:v>
                </c:pt>
              </c:numCache>
            </c:numRef>
          </c:val>
          <c:extLst>
            <c:ext xmlns:c16="http://schemas.microsoft.com/office/drawing/2014/chart" uri="{C3380CC4-5D6E-409C-BE32-E72D297353CC}">
              <c16:uniqueId val="{00000000-5ED1-476E-9F02-3814F3ED8050}"/>
            </c:ext>
          </c:extLst>
        </c:ser>
        <c:dLbls>
          <c:showLegendKey val="0"/>
          <c:showVal val="0"/>
          <c:showCatName val="0"/>
          <c:showSerName val="0"/>
          <c:showPercent val="0"/>
          <c:showBubbleSize val="0"/>
        </c:dLbls>
        <c:gapWidth val="219"/>
        <c:overlap val="-27"/>
        <c:axId val="343450335"/>
        <c:axId val="343427295"/>
      </c:barChart>
      <c:catAx>
        <c:axId val="34345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427295"/>
        <c:crosses val="autoZero"/>
        <c:auto val="1"/>
        <c:lblAlgn val="ctr"/>
        <c:lblOffset val="100"/>
        <c:noMultiLvlLbl val="0"/>
      </c:catAx>
      <c:valAx>
        <c:axId val="34342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45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Sheet4!$B$14</c:f>
              <c:strCache>
                <c:ptCount val="1"/>
                <c:pt idx="0">
                  <c:v>Total</c:v>
                </c:pt>
              </c:strCache>
            </c:strRef>
          </c:tx>
          <c:spPr>
            <a:solidFill>
              <a:schemeClr val="accent1"/>
            </a:solidFill>
            <a:ln>
              <a:noFill/>
            </a:ln>
            <a:effectLst/>
          </c:spPr>
          <c:invertIfNegative val="0"/>
          <c:cat>
            <c:strRef>
              <c:f>Sheet4!$A$15:$A$22</c:f>
              <c:strCache>
                <c:ptCount val="7"/>
                <c:pt idx="0">
                  <c:v>Finance</c:v>
                </c:pt>
                <c:pt idx="1">
                  <c:v>HR</c:v>
                </c:pt>
                <c:pt idx="2">
                  <c:v>IT</c:v>
                </c:pt>
                <c:pt idx="3">
                  <c:v>Marketing</c:v>
                </c:pt>
                <c:pt idx="4">
                  <c:v>Operations</c:v>
                </c:pt>
                <c:pt idx="5">
                  <c:v>Sales</c:v>
                </c:pt>
                <c:pt idx="6">
                  <c:v>(blank)</c:v>
                </c:pt>
              </c:strCache>
            </c:strRef>
          </c:cat>
          <c:val>
            <c:numRef>
              <c:f>Sheet4!$B$15:$B$22</c:f>
              <c:numCache>
                <c:formatCode>General</c:formatCode>
                <c:ptCount val="7"/>
                <c:pt idx="0">
                  <c:v>77522.510204081627</c:v>
                </c:pt>
                <c:pt idx="1">
                  <c:v>76744.016393442624</c:v>
                </c:pt>
                <c:pt idx="2">
                  <c:v>81629.444444444438</c:v>
                </c:pt>
                <c:pt idx="3">
                  <c:v>76496.58139534884</c:v>
                </c:pt>
                <c:pt idx="4">
                  <c:v>76710.236363636359</c:v>
                </c:pt>
                <c:pt idx="5">
                  <c:v>77664.96428571429</c:v>
                </c:pt>
              </c:numCache>
            </c:numRef>
          </c:val>
          <c:extLst>
            <c:ext xmlns:c16="http://schemas.microsoft.com/office/drawing/2014/chart" uri="{C3380CC4-5D6E-409C-BE32-E72D297353CC}">
              <c16:uniqueId val="{00000000-AD6E-41FF-AF4C-28B77182DB1F}"/>
            </c:ext>
          </c:extLst>
        </c:ser>
        <c:dLbls>
          <c:showLegendKey val="0"/>
          <c:showVal val="0"/>
          <c:showCatName val="0"/>
          <c:showSerName val="0"/>
          <c:showPercent val="0"/>
          <c:showBubbleSize val="0"/>
        </c:dLbls>
        <c:gapWidth val="182"/>
        <c:axId val="298887855"/>
        <c:axId val="302478207"/>
      </c:barChart>
      <c:catAx>
        <c:axId val="298887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78207"/>
        <c:crosses val="autoZero"/>
        <c:auto val="1"/>
        <c:lblAlgn val="ctr"/>
        <c:lblOffset val="100"/>
        <c:noMultiLvlLbl val="0"/>
      </c:catAx>
      <c:valAx>
        <c:axId val="302478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88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[HR_Analytics_Dashboard.xlsx]Sheet4!PivotTable4</c:name>
    <c:fmtId val="0"/>
  </c:pivotSource>
  <c:chart>
    <c:title>
      <c:layout>
        <c:manualLayout>
          <c:xMode val="edge"/>
          <c:yMode val="edge"/>
          <c:x val="0.27848972885000928"/>
          <c:y val="0.2670272498734075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Sheet4!$B$25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Sheet4!$A$26:$A$29</c:f>
              <c:strCache>
                <c:ptCount val="3"/>
                <c:pt idx="0">
                  <c:v>Female</c:v>
                </c:pt>
                <c:pt idx="1">
                  <c:v>Male</c:v>
                </c:pt>
                <c:pt idx="2">
                  <c:v>(blank)</c:v>
                </c:pt>
              </c:strCache>
            </c:strRef>
          </c:cat>
          <c:val>
            <c:numRef>
              <c:f>Sheet4!$B$26:$B$29</c:f>
              <c:numCache>
                <c:formatCode>General</c:formatCode>
                <c:ptCount val="3"/>
                <c:pt idx="0">
                  <c:v>150</c:v>
                </c:pt>
                <c:pt idx="1">
                  <c:v>150</c:v>
                </c:pt>
              </c:numCache>
            </c:numRef>
          </c:val>
          <c:extLst>
            <c:ext xmlns:c16="http://schemas.microsoft.com/office/drawing/2014/chart" uri="{C3380CC4-5D6E-409C-BE32-E72D297353CC}">
              <c16:uniqueId val="{00000000-2F14-494F-A3F2-70867871C4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[HR_Analytics_Dashboard.xlsx]Sheet4!PivotTable5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766267408756309"/>
          <c:y val="0.39493620832262605"/>
          <c:w val="0.23982183008882849"/>
          <c:h val="0.4805007900839231"/>
        </c:manualLayout>
      </c:layout>
      <c:barChart>
        <c:barDir val="bar"/>
        <c:grouping val="clustered"/>
        <c:varyColors val="0"/>
        <c:ser>
          <c:idx val="0"/>
          <c:order val="0"/>
          <c:tx>
            <c:strRef>
              <c:f>Sheet4!$B$31</c:f>
              <c:strCache>
                <c:ptCount val="1"/>
                <c:pt idx="0">
                  <c:v>Total</c:v>
                </c:pt>
              </c:strCache>
            </c:strRef>
          </c:tx>
          <c:spPr>
            <a:solidFill>
              <a:schemeClr val="accent1"/>
            </a:solidFill>
            <a:ln>
              <a:noFill/>
            </a:ln>
            <a:effectLst/>
          </c:spPr>
          <c:invertIfNegative val="0"/>
          <c:cat>
            <c:strRef>
              <c:f>Sheet4!$A$32:$A$37</c:f>
              <c:strCache>
                <c:ptCount val="5"/>
                <c:pt idx="0">
                  <c:v>Average</c:v>
                </c:pt>
                <c:pt idx="1">
                  <c:v>Excellent</c:v>
                </c:pt>
                <c:pt idx="2">
                  <c:v>Good</c:v>
                </c:pt>
                <c:pt idx="3">
                  <c:v>Needs Improvement</c:v>
                </c:pt>
                <c:pt idx="4">
                  <c:v>(blank)</c:v>
                </c:pt>
              </c:strCache>
            </c:strRef>
          </c:cat>
          <c:val>
            <c:numRef>
              <c:f>Sheet4!$B$32:$B$37</c:f>
              <c:numCache>
                <c:formatCode>General</c:formatCode>
                <c:ptCount val="5"/>
                <c:pt idx="0">
                  <c:v>83</c:v>
                </c:pt>
                <c:pt idx="1">
                  <c:v>70</c:v>
                </c:pt>
                <c:pt idx="2">
                  <c:v>82</c:v>
                </c:pt>
                <c:pt idx="3">
                  <c:v>65</c:v>
                </c:pt>
              </c:numCache>
            </c:numRef>
          </c:val>
          <c:extLst>
            <c:ext xmlns:c16="http://schemas.microsoft.com/office/drawing/2014/chart" uri="{C3380CC4-5D6E-409C-BE32-E72D297353CC}">
              <c16:uniqueId val="{00000000-C96A-47DD-BC26-BE28EFC5ED4D}"/>
            </c:ext>
          </c:extLst>
        </c:ser>
        <c:dLbls>
          <c:showLegendKey val="0"/>
          <c:showVal val="0"/>
          <c:showCatName val="0"/>
          <c:showSerName val="0"/>
          <c:showPercent val="0"/>
          <c:showBubbleSize val="0"/>
        </c:dLbls>
        <c:gapWidth val="182"/>
        <c:axId val="351614111"/>
        <c:axId val="351606431"/>
      </c:barChart>
      <c:catAx>
        <c:axId val="351614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06431"/>
        <c:crosses val="autoZero"/>
        <c:auto val="1"/>
        <c:lblAlgn val="ctr"/>
        <c:lblOffset val="100"/>
        <c:noMultiLvlLbl val="0"/>
      </c:catAx>
      <c:valAx>
        <c:axId val="351606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1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[HR_Analytics_Dashboard.xlsx]Sheet4!PivotTable6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Sheet4!$B$39</c:f>
              <c:strCache>
                <c:ptCount val="1"/>
                <c:pt idx="0">
                  <c:v>Total</c:v>
                </c:pt>
              </c:strCache>
            </c:strRef>
          </c:tx>
          <c:spPr>
            <a:solidFill>
              <a:schemeClr val="accent1"/>
            </a:solidFill>
            <a:ln>
              <a:noFill/>
            </a:ln>
            <a:effectLst/>
          </c:spPr>
          <c:invertIfNegative val="0"/>
          <c:cat>
            <c:multiLvlStrRef>
              <c:f>Sheet4!$A$40:$A$60</c:f>
              <c:multiLvlStrCache>
                <c:ptCount val="13"/>
                <c:lvl>
                  <c:pt idx="0">
                    <c:v>No</c:v>
                  </c:pt>
                  <c:pt idx="1">
                    <c:v>Yes</c:v>
                  </c:pt>
                  <c:pt idx="2">
                    <c:v>No</c:v>
                  </c:pt>
                  <c:pt idx="3">
                    <c:v>Yes</c:v>
                  </c:pt>
                  <c:pt idx="4">
                    <c:v>No</c:v>
                  </c:pt>
                  <c:pt idx="5">
                    <c:v>Yes</c:v>
                  </c:pt>
                  <c:pt idx="6">
                    <c:v>No</c:v>
                  </c:pt>
                  <c:pt idx="7">
                    <c:v>Yes</c:v>
                  </c:pt>
                  <c:pt idx="8">
                    <c:v>No</c:v>
                  </c:pt>
                  <c:pt idx="9">
                    <c:v>Yes</c:v>
                  </c:pt>
                  <c:pt idx="10">
                    <c:v>No</c:v>
                  </c:pt>
                  <c:pt idx="11">
                    <c:v>Yes</c:v>
                  </c:pt>
                  <c:pt idx="12">
                    <c:v>(blank)</c:v>
                  </c:pt>
                </c:lvl>
                <c:lvl>
                  <c:pt idx="0">
                    <c:v>Finance</c:v>
                  </c:pt>
                  <c:pt idx="2">
                    <c:v>HR</c:v>
                  </c:pt>
                  <c:pt idx="4">
                    <c:v>IT</c:v>
                  </c:pt>
                  <c:pt idx="6">
                    <c:v>Marketing</c:v>
                  </c:pt>
                  <c:pt idx="8">
                    <c:v>Operations</c:v>
                  </c:pt>
                  <c:pt idx="10">
                    <c:v>Sales</c:v>
                  </c:pt>
                  <c:pt idx="12">
                    <c:v>(blank)</c:v>
                  </c:pt>
                </c:lvl>
              </c:multiLvlStrCache>
            </c:multiLvlStrRef>
          </c:cat>
          <c:val>
            <c:numRef>
              <c:f>Sheet4!$B$40:$B$60</c:f>
              <c:numCache>
                <c:formatCode>General</c:formatCode>
                <c:ptCount val="13"/>
                <c:pt idx="0">
                  <c:v>38</c:v>
                </c:pt>
                <c:pt idx="1">
                  <c:v>11</c:v>
                </c:pt>
                <c:pt idx="2">
                  <c:v>47</c:v>
                </c:pt>
                <c:pt idx="3">
                  <c:v>14</c:v>
                </c:pt>
                <c:pt idx="4">
                  <c:v>31</c:v>
                </c:pt>
                <c:pt idx="5">
                  <c:v>5</c:v>
                </c:pt>
                <c:pt idx="6">
                  <c:v>31</c:v>
                </c:pt>
                <c:pt idx="7">
                  <c:v>12</c:v>
                </c:pt>
                <c:pt idx="8">
                  <c:v>46</c:v>
                </c:pt>
                <c:pt idx="9">
                  <c:v>9</c:v>
                </c:pt>
                <c:pt idx="10">
                  <c:v>45</c:v>
                </c:pt>
                <c:pt idx="11">
                  <c:v>11</c:v>
                </c:pt>
              </c:numCache>
            </c:numRef>
          </c:val>
          <c:extLst>
            <c:ext xmlns:c16="http://schemas.microsoft.com/office/drawing/2014/chart" uri="{C3380CC4-5D6E-409C-BE32-E72D297353CC}">
              <c16:uniqueId val="{00000000-C578-4C85-A5D9-807EA083E493}"/>
            </c:ext>
          </c:extLst>
        </c:ser>
        <c:dLbls>
          <c:showLegendKey val="0"/>
          <c:showVal val="0"/>
          <c:showCatName val="0"/>
          <c:showSerName val="0"/>
          <c:showPercent val="0"/>
          <c:showBubbleSize val="0"/>
        </c:dLbls>
        <c:gapWidth val="219"/>
        <c:overlap val="-27"/>
        <c:axId val="351617471"/>
        <c:axId val="351612191"/>
      </c:barChart>
      <c:catAx>
        <c:axId val="35161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12191"/>
        <c:crosses val="autoZero"/>
        <c:auto val="1"/>
        <c:lblAlgn val="ctr"/>
        <c:lblOffset val="100"/>
        <c:noMultiLvlLbl val="0"/>
      </c:catAx>
      <c:valAx>
        <c:axId val="35161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1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[HR_Analytics_Dashboard.xlsx]Sheet4!PivotTable7</c:name>
    <c:fmtId val="0"/>
  </c:pivotSource>
  <c:chart>
    <c:title>
      <c:layout>
        <c:manualLayout>
          <c:xMode val="edge"/>
          <c:yMode val="edge"/>
          <c:x val="0.43371305082591172"/>
          <c:y val="0.161016331291921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Sheet4!$B$63</c:f>
              <c:strCache>
                <c:ptCount val="1"/>
                <c:pt idx="0">
                  <c:v>Total</c:v>
                </c:pt>
              </c:strCache>
            </c:strRef>
          </c:tx>
          <c:spPr>
            <a:solidFill>
              <a:schemeClr val="accent1"/>
            </a:solidFill>
            <a:ln>
              <a:noFill/>
            </a:ln>
            <a:effectLst/>
          </c:spPr>
          <c:invertIfNegative val="0"/>
          <c:cat>
            <c:strRef>
              <c:f>Sheet4!$A$64:$A$71</c:f>
              <c:strCache>
                <c:ptCount val="7"/>
                <c:pt idx="0">
                  <c:v>Bangalore</c:v>
                </c:pt>
                <c:pt idx="1">
                  <c:v>Chennai</c:v>
                </c:pt>
                <c:pt idx="2">
                  <c:v>Delhi</c:v>
                </c:pt>
                <c:pt idx="3">
                  <c:v>Hyderabad</c:v>
                </c:pt>
                <c:pt idx="4">
                  <c:v>Mumbai</c:v>
                </c:pt>
                <c:pt idx="5">
                  <c:v>Pune</c:v>
                </c:pt>
                <c:pt idx="6">
                  <c:v>(blank)</c:v>
                </c:pt>
              </c:strCache>
            </c:strRef>
          </c:cat>
          <c:val>
            <c:numRef>
              <c:f>Sheet4!$B$64:$B$71</c:f>
              <c:numCache>
                <c:formatCode>General</c:formatCode>
                <c:ptCount val="7"/>
                <c:pt idx="0">
                  <c:v>46</c:v>
                </c:pt>
                <c:pt idx="1">
                  <c:v>53</c:v>
                </c:pt>
                <c:pt idx="2">
                  <c:v>57</c:v>
                </c:pt>
                <c:pt idx="3">
                  <c:v>46</c:v>
                </c:pt>
                <c:pt idx="4">
                  <c:v>38</c:v>
                </c:pt>
                <c:pt idx="5">
                  <c:v>60</c:v>
                </c:pt>
              </c:numCache>
            </c:numRef>
          </c:val>
          <c:extLst>
            <c:ext xmlns:c16="http://schemas.microsoft.com/office/drawing/2014/chart" uri="{C3380CC4-5D6E-409C-BE32-E72D297353CC}">
              <c16:uniqueId val="{00000000-FB24-4B87-B1C0-7409122DAD00}"/>
            </c:ext>
          </c:extLst>
        </c:ser>
        <c:dLbls>
          <c:showLegendKey val="0"/>
          <c:showVal val="0"/>
          <c:showCatName val="0"/>
          <c:showSerName val="0"/>
          <c:showPercent val="0"/>
          <c:showBubbleSize val="0"/>
        </c:dLbls>
        <c:gapWidth val="182"/>
        <c:axId val="351595871"/>
        <c:axId val="351609791"/>
      </c:barChart>
      <c:catAx>
        <c:axId val="351595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09791"/>
        <c:crosses val="autoZero"/>
        <c:auto val="1"/>
        <c:lblAlgn val="ctr"/>
        <c:lblOffset val="100"/>
        <c:noMultiLvlLbl val="0"/>
      </c:catAx>
      <c:valAx>
        <c:axId val="35160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59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[HR_Analytics_Dashboard.xlsx]Sheet4!PivotTable5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766267408756309"/>
          <c:y val="0.39493620832262605"/>
          <c:w val="0.23982183008882849"/>
          <c:h val="0.4805007900839231"/>
        </c:manualLayout>
      </c:layout>
      <c:barChart>
        <c:barDir val="bar"/>
        <c:grouping val="clustered"/>
        <c:varyColors val="0"/>
        <c:ser>
          <c:idx val="0"/>
          <c:order val="0"/>
          <c:tx>
            <c:strRef>
              <c:f>Sheet4!$B$31</c:f>
              <c:strCache>
                <c:ptCount val="1"/>
                <c:pt idx="0">
                  <c:v>Total</c:v>
                </c:pt>
              </c:strCache>
            </c:strRef>
          </c:tx>
          <c:spPr>
            <a:solidFill>
              <a:schemeClr val="accent2"/>
            </a:solidFill>
            <a:ln>
              <a:noFill/>
            </a:ln>
            <a:effectLst/>
          </c:spPr>
          <c:invertIfNegative val="0"/>
          <c:cat>
            <c:strRef>
              <c:f>Sheet4!$A$32:$A$37</c:f>
              <c:strCache>
                <c:ptCount val="5"/>
                <c:pt idx="0">
                  <c:v>Average</c:v>
                </c:pt>
                <c:pt idx="1">
                  <c:v>Excellent</c:v>
                </c:pt>
                <c:pt idx="2">
                  <c:v>Good</c:v>
                </c:pt>
                <c:pt idx="3">
                  <c:v>Needs Improvement</c:v>
                </c:pt>
                <c:pt idx="4">
                  <c:v>(blank)</c:v>
                </c:pt>
              </c:strCache>
            </c:strRef>
          </c:cat>
          <c:val>
            <c:numRef>
              <c:f>Sheet4!$B$32:$B$37</c:f>
              <c:numCache>
                <c:formatCode>General</c:formatCode>
                <c:ptCount val="5"/>
                <c:pt idx="0">
                  <c:v>83</c:v>
                </c:pt>
                <c:pt idx="1">
                  <c:v>70</c:v>
                </c:pt>
                <c:pt idx="2">
                  <c:v>82</c:v>
                </c:pt>
                <c:pt idx="3">
                  <c:v>65</c:v>
                </c:pt>
              </c:numCache>
            </c:numRef>
          </c:val>
          <c:extLst>
            <c:ext xmlns:c16="http://schemas.microsoft.com/office/drawing/2014/chart" uri="{C3380CC4-5D6E-409C-BE32-E72D297353CC}">
              <c16:uniqueId val="{00000000-E819-4C78-AC2A-B603AC675302}"/>
            </c:ext>
          </c:extLst>
        </c:ser>
        <c:dLbls>
          <c:showLegendKey val="0"/>
          <c:showVal val="0"/>
          <c:showCatName val="0"/>
          <c:showSerName val="0"/>
          <c:showPercent val="0"/>
          <c:showBubbleSize val="0"/>
        </c:dLbls>
        <c:gapWidth val="182"/>
        <c:axId val="351614111"/>
        <c:axId val="351606431"/>
      </c:barChart>
      <c:catAx>
        <c:axId val="351614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06431"/>
        <c:crosses val="autoZero"/>
        <c:auto val="1"/>
        <c:lblAlgn val="ctr"/>
        <c:lblOffset val="100"/>
        <c:noMultiLvlLbl val="0"/>
      </c:catAx>
      <c:valAx>
        <c:axId val="351606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1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[HR_Analytics_Dashboard.xlsx]Sheet4!PivotTable6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Sheet4!$B$39</c:f>
              <c:strCache>
                <c:ptCount val="1"/>
                <c:pt idx="0">
                  <c:v>Total</c:v>
                </c:pt>
              </c:strCache>
            </c:strRef>
          </c:tx>
          <c:spPr>
            <a:solidFill>
              <a:schemeClr val="accent6"/>
            </a:solidFill>
            <a:ln>
              <a:noFill/>
            </a:ln>
            <a:effectLst/>
          </c:spPr>
          <c:invertIfNegative val="0"/>
          <c:cat>
            <c:multiLvlStrRef>
              <c:f>Sheet4!$A$40:$A$60</c:f>
              <c:multiLvlStrCache>
                <c:ptCount val="13"/>
                <c:lvl>
                  <c:pt idx="0">
                    <c:v>No</c:v>
                  </c:pt>
                  <c:pt idx="1">
                    <c:v>Yes</c:v>
                  </c:pt>
                  <c:pt idx="2">
                    <c:v>No</c:v>
                  </c:pt>
                  <c:pt idx="3">
                    <c:v>Yes</c:v>
                  </c:pt>
                  <c:pt idx="4">
                    <c:v>No</c:v>
                  </c:pt>
                  <c:pt idx="5">
                    <c:v>Yes</c:v>
                  </c:pt>
                  <c:pt idx="6">
                    <c:v>No</c:v>
                  </c:pt>
                  <c:pt idx="7">
                    <c:v>Yes</c:v>
                  </c:pt>
                  <c:pt idx="8">
                    <c:v>No</c:v>
                  </c:pt>
                  <c:pt idx="9">
                    <c:v>Yes</c:v>
                  </c:pt>
                  <c:pt idx="10">
                    <c:v>No</c:v>
                  </c:pt>
                  <c:pt idx="11">
                    <c:v>Yes</c:v>
                  </c:pt>
                  <c:pt idx="12">
                    <c:v>(blank)</c:v>
                  </c:pt>
                </c:lvl>
                <c:lvl>
                  <c:pt idx="0">
                    <c:v>Finance</c:v>
                  </c:pt>
                  <c:pt idx="2">
                    <c:v>HR</c:v>
                  </c:pt>
                  <c:pt idx="4">
                    <c:v>IT</c:v>
                  </c:pt>
                  <c:pt idx="6">
                    <c:v>Marketing</c:v>
                  </c:pt>
                  <c:pt idx="8">
                    <c:v>Operations</c:v>
                  </c:pt>
                  <c:pt idx="10">
                    <c:v>Sales</c:v>
                  </c:pt>
                  <c:pt idx="12">
                    <c:v>(blank)</c:v>
                  </c:pt>
                </c:lvl>
              </c:multiLvlStrCache>
            </c:multiLvlStrRef>
          </c:cat>
          <c:val>
            <c:numRef>
              <c:f>Sheet4!$B$40:$B$60</c:f>
              <c:numCache>
                <c:formatCode>General</c:formatCode>
                <c:ptCount val="13"/>
                <c:pt idx="0">
                  <c:v>38</c:v>
                </c:pt>
                <c:pt idx="1">
                  <c:v>11</c:v>
                </c:pt>
                <c:pt idx="2">
                  <c:v>47</c:v>
                </c:pt>
                <c:pt idx="3">
                  <c:v>14</c:v>
                </c:pt>
                <c:pt idx="4">
                  <c:v>31</c:v>
                </c:pt>
                <c:pt idx="5">
                  <c:v>5</c:v>
                </c:pt>
                <c:pt idx="6">
                  <c:v>31</c:v>
                </c:pt>
                <c:pt idx="7">
                  <c:v>12</c:v>
                </c:pt>
                <c:pt idx="8">
                  <c:v>46</c:v>
                </c:pt>
                <c:pt idx="9">
                  <c:v>9</c:v>
                </c:pt>
                <c:pt idx="10">
                  <c:v>45</c:v>
                </c:pt>
                <c:pt idx="11">
                  <c:v>11</c:v>
                </c:pt>
              </c:numCache>
            </c:numRef>
          </c:val>
          <c:extLst>
            <c:ext xmlns:c16="http://schemas.microsoft.com/office/drawing/2014/chart" uri="{C3380CC4-5D6E-409C-BE32-E72D297353CC}">
              <c16:uniqueId val="{00000000-1782-47B7-8816-1B2F3AF3D4DE}"/>
            </c:ext>
          </c:extLst>
        </c:ser>
        <c:dLbls>
          <c:showLegendKey val="0"/>
          <c:showVal val="0"/>
          <c:showCatName val="0"/>
          <c:showSerName val="0"/>
          <c:showPercent val="0"/>
          <c:showBubbleSize val="0"/>
        </c:dLbls>
        <c:gapWidth val="219"/>
        <c:overlap val="-27"/>
        <c:axId val="351617471"/>
        <c:axId val="351612191"/>
      </c:barChart>
      <c:catAx>
        <c:axId val="35161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12191"/>
        <c:crosses val="autoZero"/>
        <c:auto val="1"/>
        <c:lblAlgn val="ctr"/>
        <c:lblOffset val="100"/>
        <c:noMultiLvlLbl val="0"/>
      </c:catAx>
      <c:valAx>
        <c:axId val="35161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1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[HR_Analytics_Dashboard.xlsx]Sheet4!PivotTable4</c:name>
    <c:fmtId val="3"/>
  </c:pivotSource>
  <c:chart>
    <c:title>
      <c:layout>
        <c:manualLayout>
          <c:xMode val="edge"/>
          <c:yMode val="edge"/>
          <c:x val="0.27848972885000928"/>
          <c:y val="0.26702724987340754"/>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8"/>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pivotFmt>
    </c:pivotFmts>
    <c:plotArea>
      <c:layout/>
      <c:pieChart>
        <c:varyColors val="1"/>
        <c:ser>
          <c:idx val="0"/>
          <c:order val="0"/>
          <c:tx>
            <c:strRef>
              <c:f>Sheet4!$B$25</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8551-4A8A-A40A-9D305F6F692E}"/>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8551-4A8A-A40A-9D305F6F692E}"/>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8551-4A8A-A40A-9D305F6F692E}"/>
              </c:ext>
            </c:extLst>
          </c:dPt>
          <c:cat>
            <c:strRef>
              <c:f>Sheet4!$A$26:$A$29</c:f>
              <c:strCache>
                <c:ptCount val="3"/>
                <c:pt idx="0">
                  <c:v>Female</c:v>
                </c:pt>
                <c:pt idx="1">
                  <c:v>Male</c:v>
                </c:pt>
                <c:pt idx="2">
                  <c:v>(blank)</c:v>
                </c:pt>
              </c:strCache>
            </c:strRef>
          </c:cat>
          <c:val>
            <c:numRef>
              <c:f>Sheet4!$B$26:$B$29</c:f>
              <c:numCache>
                <c:formatCode>General</c:formatCode>
                <c:ptCount val="3"/>
                <c:pt idx="0">
                  <c:v>150</c:v>
                </c:pt>
                <c:pt idx="1">
                  <c:v>150</c:v>
                </c:pt>
              </c:numCache>
            </c:numRef>
          </c:val>
          <c:extLst>
            <c:ext xmlns:c16="http://schemas.microsoft.com/office/drawing/2014/chart" uri="{C3380CC4-5D6E-409C-BE32-E72D297353CC}">
              <c16:uniqueId val="{00000006-8551-4A8A-A40A-9D305F6F692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[HR_Analytics_Dashboard.xlsx]Sheet4!PivotTable2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51256474365625"/>
          <c:y val="0.35774743911661139"/>
          <c:w val="0.57251516833660621"/>
          <c:h val="0.23722202228801512"/>
        </c:manualLayout>
      </c:layout>
      <c:barChart>
        <c:barDir val="col"/>
        <c:grouping val="clustered"/>
        <c:varyColors val="0"/>
        <c:ser>
          <c:idx val="0"/>
          <c:order val="0"/>
          <c:tx>
            <c:strRef>
              <c:f>Sheet4!$B$3</c:f>
              <c:strCache>
                <c:ptCount val="1"/>
                <c:pt idx="0">
                  <c:v>Total</c:v>
                </c:pt>
              </c:strCache>
            </c:strRef>
          </c:tx>
          <c:spPr>
            <a:solidFill>
              <a:schemeClr val="accent2"/>
            </a:solidFill>
            <a:ln>
              <a:noFill/>
            </a:ln>
            <a:effectLst/>
          </c:spPr>
          <c:invertIfNegative val="0"/>
          <c:cat>
            <c:strRef>
              <c:f>Sheet4!$A$4:$A$11</c:f>
              <c:strCache>
                <c:ptCount val="7"/>
                <c:pt idx="0">
                  <c:v>Finance</c:v>
                </c:pt>
                <c:pt idx="1">
                  <c:v>HR</c:v>
                </c:pt>
                <c:pt idx="2">
                  <c:v>IT</c:v>
                </c:pt>
                <c:pt idx="3">
                  <c:v>Marketing</c:v>
                </c:pt>
                <c:pt idx="4">
                  <c:v>Operations</c:v>
                </c:pt>
                <c:pt idx="5">
                  <c:v>Sales</c:v>
                </c:pt>
                <c:pt idx="6">
                  <c:v>(blank)</c:v>
                </c:pt>
              </c:strCache>
            </c:strRef>
          </c:cat>
          <c:val>
            <c:numRef>
              <c:f>Sheet4!$B$4:$B$11</c:f>
              <c:numCache>
                <c:formatCode>General</c:formatCode>
                <c:ptCount val="7"/>
                <c:pt idx="0">
                  <c:v>49</c:v>
                </c:pt>
                <c:pt idx="1">
                  <c:v>61</c:v>
                </c:pt>
                <c:pt idx="2">
                  <c:v>36</c:v>
                </c:pt>
                <c:pt idx="3">
                  <c:v>43</c:v>
                </c:pt>
                <c:pt idx="4">
                  <c:v>55</c:v>
                </c:pt>
                <c:pt idx="5">
                  <c:v>56</c:v>
                </c:pt>
              </c:numCache>
            </c:numRef>
          </c:val>
          <c:extLst>
            <c:ext xmlns:c16="http://schemas.microsoft.com/office/drawing/2014/chart" uri="{C3380CC4-5D6E-409C-BE32-E72D297353CC}">
              <c16:uniqueId val="{00000000-EC24-4D37-B4CA-C8C9D918EDC8}"/>
            </c:ext>
          </c:extLst>
        </c:ser>
        <c:dLbls>
          <c:showLegendKey val="0"/>
          <c:showVal val="0"/>
          <c:showCatName val="0"/>
          <c:showSerName val="0"/>
          <c:showPercent val="0"/>
          <c:showBubbleSize val="0"/>
        </c:dLbls>
        <c:gapWidth val="219"/>
        <c:overlap val="-27"/>
        <c:axId val="343450335"/>
        <c:axId val="343427295"/>
      </c:barChart>
      <c:catAx>
        <c:axId val="34345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427295"/>
        <c:crosses val="autoZero"/>
        <c:auto val="1"/>
        <c:lblAlgn val="ctr"/>
        <c:lblOffset val="100"/>
        <c:noMultiLvlLbl val="0"/>
      </c:catAx>
      <c:valAx>
        <c:axId val="34342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45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[HR_Analytics_Dashboard.xlsx]Sheet4!PivotTable3</c:name>
    <c:fmtId val="3"/>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Sheet4!$A$15:$A$22</c:f>
              <c:strCache>
                <c:ptCount val="7"/>
                <c:pt idx="0">
                  <c:v>Finance</c:v>
                </c:pt>
                <c:pt idx="1">
                  <c:v>HR</c:v>
                </c:pt>
                <c:pt idx="2">
                  <c:v>IT</c:v>
                </c:pt>
                <c:pt idx="3">
                  <c:v>Marketing</c:v>
                </c:pt>
                <c:pt idx="4">
                  <c:v>Operations</c:v>
                </c:pt>
                <c:pt idx="5">
                  <c:v>Sales</c:v>
                </c:pt>
                <c:pt idx="6">
                  <c:v>(blank)</c:v>
                </c:pt>
              </c:strCache>
            </c:strRef>
          </c:cat>
          <c:val>
            <c:numRef>
              <c:f>Sheet4!$B$15:$B$22</c:f>
              <c:numCache>
                <c:formatCode>General</c:formatCode>
                <c:ptCount val="7"/>
                <c:pt idx="0">
                  <c:v>77522.510204081627</c:v>
                </c:pt>
                <c:pt idx="1">
                  <c:v>76744.016393442624</c:v>
                </c:pt>
                <c:pt idx="2">
                  <c:v>81629.444444444438</c:v>
                </c:pt>
                <c:pt idx="3">
                  <c:v>76496.58139534884</c:v>
                </c:pt>
                <c:pt idx="4">
                  <c:v>76710.236363636359</c:v>
                </c:pt>
                <c:pt idx="5">
                  <c:v>77664.96428571429</c:v>
                </c:pt>
              </c:numCache>
            </c:numRef>
          </c:val>
          <c:extLst>
            <c:ext xmlns:c16="http://schemas.microsoft.com/office/drawing/2014/chart" uri="{C3380CC4-5D6E-409C-BE32-E72D297353CC}">
              <c16:uniqueId val="{00000000-D312-489A-97BD-4823398BF4A9}"/>
            </c:ext>
          </c:extLst>
        </c:ser>
        <c:dLbls>
          <c:showLegendKey val="0"/>
          <c:showVal val="0"/>
          <c:showCatName val="0"/>
          <c:showSerName val="0"/>
          <c:showPercent val="0"/>
          <c:showBubbleSize val="0"/>
        </c:dLbls>
        <c:gapWidth val="326"/>
        <c:overlap val="-58"/>
        <c:axId val="298887855"/>
        <c:axId val="302478207"/>
      </c:barChart>
      <c:catAx>
        <c:axId val="29888785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78207"/>
        <c:crosses val="autoZero"/>
        <c:auto val="1"/>
        <c:lblAlgn val="ctr"/>
        <c:lblOffset val="100"/>
        <c:noMultiLvlLbl val="0"/>
      </c:catAx>
      <c:valAx>
        <c:axId val="302478207"/>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88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[HR_Analytics_Dashboard.xlsx]Sheet4!PivotTable7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Sheet4!$B$63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Sheet4!$A$64:$A$71</c:f>
              <c:strCache>
                <c:ptCount val="7"/>
                <c:pt idx="0">
                  <c:v>Bangalore</c:v>
                </c:pt>
                <c:pt idx="1">
                  <c:v>Chennai</c:v>
                </c:pt>
                <c:pt idx="2">
                  <c:v>Delhi</c:v>
                </c:pt>
                <c:pt idx="3">
                  <c:v>Hyderabad</c:v>
                </c:pt>
                <c:pt idx="4">
                  <c:v>Mumbai</c:v>
                </c:pt>
                <c:pt idx="5">
                  <c:v>Pune</c:v>
                </c:pt>
                <c:pt idx="6">
                  <c:v>(blank)</c:v>
                </c:pt>
              </c:strCache>
            </c:strRef>
          </c:cat>
          <c:val>
            <c:numRef>
              <c:f>Sheet4!$B$64:$B$71</c:f>
              <c:numCache>
                <c:formatCode>General</c:formatCode>
                <c:ptCount val="7"/>
                <c:pt idx="0">
                  <c:v>46</c:v>
                </c:pt>
                <c:pt idx="1">
                  <c:v>53</c:v>
                </c:pt>
                <c:pt idx="2">
                  <c:v>57</c:v>
                </c:pt>
                <c:pt idx="3">
                  <c:v>46</c:v>
                </c:pt>
                <c:pt idx="4">
                  <c:v>38</c:v>
                </c:pt>
                <c:pt idx="5">
                  <c:v>60</c:v>
                </c:pt>
              </c:numCache>
            </c:numRef>
          </c:val>
          <c:extLst>
            <c:ext xmlns:c16="http://schemas.microsoft.com/office/drawing/2014/chart" uri="{C3380CC4-5D6E-409C-BE32-E72D297353CC}">
              <c16:uniqueId val="{00000000-9B67-46D3-B891-5993FB0CB05F}"/>
            </c:ext>
          </c:extLst>
        </c:ser>
        <c:dLbls>
          <c:showLegendKey val="0"/>
          <c:showVal val="0"/>
          <c:showCatName val="0"/>
          <c:showSerName val="0"/>
          <c:showPercent val="0"/>
          <c:showBubbleSize val="0"/>
        </c:dLbls>
        <c:gapWidth val="115"/>
        <c:overlap val="-20"/>
        <c:axId val="351595871"/>
        <c:axId val="351609791"/>
      </c:barChart>
      <c:catAx>
        <c:axId val="3515958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609791"/>
        <c:crosses val="autoZero"/>
        <c:auto val="1"/>
        <c:lblAlgn val="ctr"/>
        <c:lblOffset val="100"/>
        <c:noMultiLvlLbl val="0"/>
      </c:catAx>
      <c:valAx>
        <c:axId val="3516097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59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314325</xdr:colOff>
      <xdr:row>1</xdr:row>
      <xdr:rowOff>100012</xdr:rowOff>
    </xdr:from>
    <xdr:to>
      <xdr:col>6</xdr:col>
      <xdr:colOff>295274</xdr:colOff>
      <xdr:row>11</xdr:row>
      <xdr:rowOff>142875</xdr:rowOff>
    </xdr:to>
    <xdr:graphicFrame macro="">
      <xdr:nvGraphicFramePr>
        <xdr:cNvPr id="2" name="Chart 1">
          <a:extLst>
            <a:ext uri="{FF2B5EF4-FFF2-40B4-BE49-F238E27FC236}">
              <a16:creationId xmlns:a16="http://schemas.microsoft.com/office/drawing/2014/main" id="{F0D5FE30-4ECA-C654-54C0-01661140F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161924</xdr:colOff>
      <xdr:row>13</xdr:row>
      <xdr:rowOff>38100</xdr:rowOff>
    </xdr:from>
    <xdr:to>
      <xdr:col>7</xdr:col>
      <xdr:colOff>419099</xdr:colOff>
      <xdr:row>22</xdr:row>
      <xdr:rowOff>57150</xdr:rowOff>
    </xdr:to>
    <xdr:graphicFrame macro="">
      <xdr:nvGraphicFramePr>
        <xdr:cNvPr id="3" name="Chart 2">
          <a:extLst>
            <a:ext uri="{FF2B5EF4-FFF2-40B4-BE49-F238E27FC236}">
              <a16:creationId xmlns:a16="http://schemas.microsoft.com/office/drawing/2014/main" id="{6BADA617-7009-F8DD-08D9-835A5906A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590549</xdr:colOff>
      <xdr:row>23</xdr:row>
      <xdr:rowOff>28575</xdr:rowOff>
    </xdr:from>
    <xdr:to>
      <xdr:col>7</xdr:col>
      <xdr:colOff>28574</xdr:colOff>
      <xdr:row>30</xdr:row>
      <xdr:rowOff>76200</xdr:rowOff>
    </xdr:to>
    <xdr:graphicFrame macro="">
      <xdr:nvGraphicFramePr>
        <xdr:cNvPr id="4" name="Chart 3">
          <a:extLst>
            <a:ext uri="{FF2B5EF4-FFF2-40B4-BE49-F238E27FC236}">
              <a16:creationId xmlns:a16="http://schemas.microsoft.com/office/drawing/2014/main" id="{C5B57216-446A-28E0-D1AB-901485A10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552449</xdr:colOff>
      <xdr:row>30</xdr:row>
      <xdr:rowOff>76200</xdr:rowOff>
    </xdr:from>
    <xdr:to>
      <xdr:col>6</xdr:col>
      <xdr:colOff>495298</xdr:colOff>
      <xdr:row>38</xdr:row>
      <xdr:rowOff>57150</xdr:rowOff>
    </xdr:to>
    <xdr:graphicFrame macro="">
      <xdr:nvGraphicFramePr>
        <xdr:cNvPr id="5" name="Chart 4">
          <a:extLst>
            <a:ext uri="{FF2B5EF4-FFF2-40B4-BE49-F238E27FC236}">
              <a16:creationId xmlns:a16="http://schemas.microsoft.com/office/drawing/2014/main" id="{A186481B-F09F-BB9C-9BE8-6B10C4C6A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133349</xdr:colOff>
      <xdr:row>44</xdr:row>
      <xdr:rowOff>100012</xdr:rowOff>
    </xdr:from>
    <xdr:to>
      <xdr:col>6</xdr:col>
      <xdr:colOff>523874</xdr:colOff>
      <xdr:row>58</xdr:row>
      <xdr:rowOff>176212</xdr:rowOff>
    </xdr:to>
    <xdr:graphicFrame macro="">
      <xdr:nvGraphicFramePr>
        <xdr:cNvPr id="6" name="Chart 5">
          <a:extLst>
            <a:ext uri="{FF2B5EF4-FFF2-40B4-BE49-F238E27FC236}">
              <a16:creationId xmlns:a16="http://schemas.microsoft.com/office/drawing/2014/main" id="{35ECA307-2472-D44B-AA2C-74E0FF9957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466725</xdr:colOff>
      <xdr:row>62</xdr:row>
      <xdr:rowOff>42862</xdr:rowOff>
    </xdr:from>
    <xdr:to>
      <xdr:col>7</xdr:col>
      <xdr:colOff>76199</xdr:colOff>
      <xdr:row>70</xdr:row>
      <xdr:rowOff>38100</xdr:rowOff>
    </xdr:to>
    <xdr:graphicFrame macro="">
      <xdr:nvGraphicFramePr>
        <xdr:cNvPr id="7" name="Chart 6">
          <a:extLst>
            <a:ext uri="{FF2B5EF4-FFF2-40B4-BE49-F238E27FC236}">
              <a16:creationId xmlns:a16="http://schemas.microsoft.com/office/drawing/2014/main" id="{A814EF6C-9C9A-ADD8-8BBD-8761330C5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514349</xdr:colOff>
      <xdr:row>23</xdr:row>
      <xdr:rowOff>133351</xdr:rowOff>
    </xdr:from>
    <xdr:to>
      <xdr:col>9</xdr:col>
      <xdr:colOff>409574</xdr:colOff>
      <xdr:row>30</xdr:row>
      <xdr:rowOff>161925</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B7105269-94C2-54AF-97D0-E441CE5CEA4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772149" y="4514851"/>
              <a:ext cx="1114425" cy="1362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238124</xdr:colOff>
      <xdr:row>1</xdr:row>
      <xdr:rowOff>76200</xdr:rowOff>
    </xdr:from>
    <xdr:to>
      <xdr:col>10</xdr:col>
      <xdr:colOff>95250</xdr:colOff>
      <xdr:row>11</xdr:row>
      <xdr:rowOff>190499</xdr:rowOff>
    </xdr:to>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436AF7D8-6085-CE40-E203-A3703DFEAFE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495924" y="266700"/>
              <a:ext cx="1685926" cy="201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30</xdr:row>
      <xdr:rowOff>180975</xdr:rowOff>
    </xdr:from>
    <xdr:to>
      <xdr:col>10</xdr:col>
      <xdr:colOff>114300</xdr:colOff>
      <xdr:row>40</xdr:row>
      <xdr:rowOff>76200</xdr:rowOff>
    </xdr:to>
    <mc:AlternateContent xmlns:mc="http://schemas.openxmlformats.org/markup-compatibility/2006">
      <mc:Choice xmlns:a14="http://schemas.microsoft.com/office/drawing/2010/main" Requires="a14">
        <xdr:graphicFrame macro="">
          <xdr:nvGraphicFramePr>
            <xdr:cNvPr id="10" name="Performance">
              <a:extLst>
                <a:ext uri="{FF2B5EF4-FFF2-40B4-BE49-F238E27FC236}">
                  <a16:creationId xmlns:a16="http://schemas.microsoft.com/office/drawing/2014/main" id="{B64A2AAF-A7F7-5A67-D542-1856B5878316}"/>
                </a:ext>
              </a:extLst>
            </xdr:cNvPr>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dr:sp macro="" textlink="">
          <xdr:nvSpPr>
            <xdr:cNvPr id="0" name=""/>
            <xdr:cNvSpPr>
              <a:spLocks noTextEdit="1"/>
            </xdr:cNvSpPr>
          </xdr:nvSpPr>
          <xdr:spPr>
            <a:xfrm>
              <a:off x="5715000" y="5895975"/>
              <a:ext cx="1485900" cy="1800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438149</xdr:colOff>
      <xdr:row>45</xdr:row>
      <xdr:rowOff>161925</xdr:rowOff>
    </xdr:from>
    <xdr:to>
      <xdr:col>10</xdr:col>
      <xdr:colOff>257174</xdr:colOff>
      <xdr:row>56</xdr:row>
      <xdr:rowOff>142875</xdr:rowOff>
    </xdr:to>
    <mc:AlternateContent xmlns:mc="http://schemas.openxmlformats.org/markup-compatibility/2006">
      <mc:Choice xmlns:a14="http://schemas.microsoft.com/office/drawing/2010/main" Requires="a14">
        <xdr:graphicFrame macro="">
          <xdr:nvGraphicFramePr>
            <xdr:cNvPr id="11" name="Attrition">
              <a:extLst>
                <a:ext uri="{FF2B5EF4-FFF2-40B4-BE49-F238E27FC236}">
                  <a16:creationId xmlns:a16="http://schemas.microsoft.com/office/drawing/2014/main" id="{B89E17DC-DEBA-8CFB-5B2A-CBA2558944BA}"/>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5695949" y="8734425"/>
              <a:ext cx="1647825" cy="2076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390525</xdr:colOff>
      <xdr:row>62</xdr:row>
      <xdr:rowOff>19050</xdr:rowOff>
    </xdr:from>
    <xdr:to>
      <xdr:col>9</xdr:col>
      <xdr:colOff>561975</xdr:colOff>
      <xdr:row>72</xdr:row>
      <xdr:rowOff>66675</xdr:rowOff>
    </xdr:to>
    <mc:AlternateContent xmlns:mc="http://schemas.openxmlformats.org/markup-compatibility/2006">
      <mc:Choice xmlns:a14="http://schemas.microsoft.com/office/drawing/2010/main" Requires="a14">
        <xdr:graphicFrame macro="">
          <xdr:nvGraphicFramePr>
            <xdr:cNvPr id="12" name="Location">
              <a:extLst>
                <a:ext uri="{FF2B5EF4-FFF2-40B4-BE49-F238E27FC236}">
                  <a16:creationId xmlns:a16="http://schemas.microsoft.com/office/drawing/2014/main" id="{D78B37BB-133C-5B6B-9491-DC19FD0B0DED}"/>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5648325" y="11830050"/>
              <a:ext cx="1390650" cy="195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123825</xdr:colOff>
      <xdr:row>3</xdr:row>
      <xdr:rowOff>104775</xdr:rowOff>
    </xdr:from>
    <xdr:to>
      <xdr:col>4</xdr:col>
      <xdr:colOff>85725</xdr:colOff>
      <xdr:row>7</xdr:row>
      <xdr:rowOff>66675</xdr:rowOff>
    </xdr:to>
    <xdr:sp macro="" textlink="">
      <xdr:nvSpPr>
        <xdr:cNvPr id="2" name="Rectangle: Rounded Corners 1">
          <a:extLst>
            <a:ext uri="{FF2B5EF4-FFF2-40B4-BE49-F238E27FC236}">
              <a16:creationId xmlns:a16="http://schemas.microsoft.com/office/drawing/2014/main" id="{3AB4D9DE-FBD4-9960-3D95-C879C3C66051}"/>
            </a:ext>
          </a:extLst>
        </xdr:cNvPr>
        <xdr:cNvSpPr/>
      </xdr:nvSpPr>
      <xdr:spPr>
        <a:xfrm>
          <a:off x="1343025" y="676275"/>
          <a:ext cx="1181100" cy="7239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EMPLOYEES</a:t>
          </a:r>
        </a:p>
        <a:p>
          <a:pPr algn="l"/>
          <a:r>
            <a:rPr lang="en-IN" sz="1100"/>
            <a:t>=Analysis!N3</a:t>
          </a:r>
        </a:p>
      </xdr:txBody>
    </xdr:sp>
    <xdr:clientData/>
  </xdr:twoCellAnchor>
  <xdr:twoCellAnchor>
    <xdr:from>
      <xdr:col>4</xdr:col>
      <xdr:colOff>571500</xdr:colOff>
      <xdr:row>3</xdr:row>
      <xdr:rowOff>66675</xdr:rowOff>
    </xdr:from>
    <xdr:to>
      <xdr:col>6</xdr:col>
      <xdr:colOff>533400</xdr:colOff>
      <xdr:row>7</xdr:row>
      <xdr:rowOff>28575</xdr:rowOff>
    </xdr:to>
    <xdr:sp macro="" textlink="">
      <xdr:nvSpPr>
        <xdr:cNvPr id="3" name="Rectangle: Rounded Corners 2">
          <a:extLst>
            <a:ext uri="{FF2B5EF4-FFF2-40B4-BE49-F238E27FC236}">
              <a16:creationId xmlns:a16="http://schemas.microsoft.com/office/drawing/2014/main" id="{63C8C9D9-0092-4DCB-AC88-90A02985CC4F}"/>
            </a:ext>
          </a:extLst>
        </xdr:cNvPr>
        <xdr:cNvSpPr/>
      </xdr:nvSpPr>
      <xdr:spPr>
        <a:xfrm>
          <a:off x="3009900" y="638175"/>
          <a:ext cx="1181100" cy="72390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AVERAGE SALARY</a:t>
          </a:r>
        </a:p>
        <a:p>
          <a:pPr algn="l"/>
          <a:r>
            <a:rPr lang="en-IN" sz="1100"/>
            <a:t>=Analysis!N4</a:t>
          </a:r>
        </a:p>
      </xdr:txBody>
    </xdr:sp>
    <xdr:clientData/>
  </xdr:twoCellAnchor>
  <xdr:twoCellAnchor>
    <xdr:from>
      <xdr:col>7</xdr:col>
      <xdr:colOff>476250</xdr:colOff>
      <xdr:row>3</xdr:row>
      <xdr:rowOff>28575</xdr:rowOff>
    </xdr:from>
    <xdr:to>
      <xdr:col>9</xdr:col>
      <xdr:colOff>438150</xdr:colOff>
      <xdr:row>6</xdr:row>
      <xdr:rowOff>180975</xdr:rowOff>
    </xdr:to>
    <xdr:sp macro="" textlink="">
      <xdr:nvSpPr>
        <xdr:cNvPr id="4" name="Rectangle: Rounded Corners 3">
          <a:extLst>
            <a:ext uri="{FF2B5EF4-FFF2-40B4-BE49-F238E27FC236}">
              <a16:creationId xmlns:a16="http://schemas.microsoft.com/office/drawing/2014/main" id="{5516447A-3950-4284-812D-3D8FC9F6711D}"/>
            </a:ext>
          </a:extLst>
        </xdr:cNvPr>
        <xdr:cNvSpPr/>
      </xdr:nvSpPr>
      <xdr:spPr>
        <a:xfrm>
          <a:off x="4743450" y="600075"/>
          <a:ext cx="1181100" cy="723900"/>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ATTRITION RATE</a:t>
          </a:r>
        </a:p>
        <a:p>
          <a:pPr algn="l"/>
          <a:r>
            <a:rPr lang="en-IN" sz="1100"/>
            <a:t>=Analysis!N7</a:t>
          </a:r>
        </a:p>
      </xdr:txBody>
    </xdr:sp>
    <xdr:clientData/>
  </xdr:twoCellAnchor>
  <xdr:twoCellAnchor>
    <xdr:from>
      <xdr:col>10</xdr:col>
      <xdr:colOff>247650</xdr:colOff>
      <xdr:row>2</xdr:row>
      <xdr:rowOff>180975</xdr:rowOff>
    </xdr:from>
    <xdr:to>
      <xdr:col>12</xdr:col>
      <xdr:colOff>209550</xdr:colOff>
      <xdr:row>6</xdr:row>
      <xdr:rowOff>142875</xdr:rowOff>
    </xdr:to>
    <xdr:sp macro="" textlink="">
      <xdr:nvSpPr>
        <xdr:cNvPr id="5" name="Rectangle: Rounded Corners 4">
          <a:extLst>
            <a:ext uri="{FF2B5EF4-FFF2-40B4-BE49-F238E27FC236}">
              <a16:creationId xmlns:a16="http://schemas.microsoft.com/office/drawing/2014/main" id="{D26BB139-3E25-41C1-8CB7-CEA608111C59}"/>
            </a:ext>
          </a:extLst>
        </xdr:cNvPr>
        <xdr:cNvSpPr/>
      </xdr:nvSpPr>
      <xdr:spPr>
        <a:xfrm>
          <a:off x="6343650" y="561975"/>
          <a:ext cx="1181100" cy="723900"/>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AVERAGE EXPERIENCE</a:t>
          </a:r>
        </a:p>
        <a:p>
          <a:pPr algn="l"/>
          <a:r>
            <a:rPr lang="en-IN" sz="1100"/>
            <a:t>=Anlaysis!N5</a:t>
          </a:r>
        </a:p>
      </xdr:txBody>
    </xdr:sp>
    <xdr:clientData/>
  </xdr:twoCellAnchor>
  <xdr:oneCellAnchor>
    <xdr:from>
      <xdr:col>2</xdr:col>
      <xdr:colOff>323850</xdr:colOff>
      <xdr:row>6</xdr:row>
      <xdr:rowOff>142875</xdr:rowOff>
    </xdr:from>
    <xdr:ext cx="184731" cy="264560"/>
    <xdr:sp macro="" textlink="">
      <xdr:nvSpPr>
        <xdr:cNvPr id="6" name="TextBox 5">
          <a:extLst>
            <a:ext uri="{FF2B5EF4-FFF2-40B4-BE49-F238E27FC236}">
              <a16:creationId xmlns:a16="http://schemas.microsoft.com/office/drawing/2014/main" id="{4AF1C22A-A4A8-9EDF-1B2A-B6294F0A6D45}"/>
            </a:ext>
          </a:extLst>
        </xdr:cNvPr>
        <xdr:cNvSpPr txBox="1"/>
      </xdr:nvSpPr>
      <xdr:spPr>
        <a:xfrm>
          <a:off x="1543050" y="1285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57150</xdr:colOff>
      <xdr:row>11</xdr:row>
      <xdr:rowOff>9525</xdr:rowOff>
    </xdr:from>
    <xdr:to>
      <xdr:col>4</xdr:col>
      <xdr:colOff>609599</xdr:colOff>
      <xdr:row>20</xdr:row>
      <xdr:rowOff>85725</xdr:rowOff>
    </xdr:to>
    <xdr:graphicFrame macro="">
      <xdr:nvGraphicFramePr>
        <xdr:cNvPr id="7" name="Chart 6">
          <a:extLst>
            <a:ext uri="{FF2B5EF4-FFF2-40B4-BE49-F238E27FC236}">
              <a16:creationId xmlns:a16="http://schemas.microsoft.com/office/drawing/2014/main" id="{C06B2AD7-E095-4B90-A5B8-A0D637700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219075</xdr:colOff>
      <xdr:row>9</xdr:row>
      <xdr:rowOff>133350</xdr:rowOff>
    </xdr:from>
    <xdr:to>
      <xdr:col>11</xdr:col>
      <xdr:colOff>0</xdr:colOff>
      <xdr:row>24</xdr:row>
      <xdr:rowOff>19050</xdr:rowOff>
    </xdr:to>
    <xdr:graphicFrame macro="">
      <xdr:nvGraphicFramePr>
        <xdr:cNvPr id="8" name="Chart 7">
          <a:extLst>
            <a:ext uri="{FF2B5EF4-FFF2-40B4-BE49-F238E27FC236}">
              <a16:creationId xmlns:a16="http://schemas.microsoft.com/office/drawing/2014/main" id="{61C03331-5092-4C53-963C-B7C392506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26</xdr:row>
      <xdr:rowOff>0</xdr:rowOff>
    </xdr:from>
    <xdr:to>
      <xdr:col>5</xdr:col>
      <xdr:colOff>47625</xdr:colOff>
      <xdr:row>33</xdr:row>
      <xdr:rowOff>47625</xdr:rowOff>
    </xdr:to>
    <xdr:graphicFrame macro="">
      <xdr:nvGraphicFramePr>
        <xdr:cNvPr id="9" name="Chart 8">
          <a:extLst>
            <a:ext uri="{FF2B5EF4-FFF2-40B4-BE49-F238E27FC236}">
              <a16:creationId xmlns:a16="http://schemas.microsoft.com/office/drawing/2014/main" id="{ABA5708C-1EB6-4A4F-B660-E01D10555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26</xdr:row>
      <xdr:rowOff>0</xdr:rowOff>
    </xdr:from>
    <xdr:to>
      <xdr:col>10</xdr:col>
      <xdr:colOff>590549</xdr:colOff>
      <xdr:row>36</xdr:row>
      <xdr:rowOff>42863</xdr:rowOff>
    </xdr:to>
    <xdr:graphicFrame macro="">
      <xdr:nvGraphicFramePr>
        <xdr:cNvPr id="10" name="Chart 9">
          <a:extLst>
            <a:ext uri="{FF2B5EF4-FFF2-40B4-BE49-F238E27FC236}">
              <a16:creationId xmlns:a16="http://schemas.microsoft.com/office/drawing/2014/main" id="{C250F717-48B9-4EF2-8FF0-9AD53FC77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552450</xdr:colOff>
      <xdr:row>37</xdr:row>
      <xdr:rowOff>85725</xdr:rowOff>
    </xdr:from>
    <xdr:to>
      <xdr:col>12</xdr:col>
      <xdr:colOff>200025</xdr:colOff>
      <xdr:row>46</xdr:row>
      <xdr:rowOff>104775</xdr:rowOff>
    </xdr:to>
    <xdr:graphicFrame macro="">
      <xdr:nvGraphicFramePr>
        <xdr:cNvPr id="11" name="Chart 10">
          <a:extLst>
            <a:ext uri="{FF2B5EF4-FFF2-40B4-BE49-F238E27FC236}">
              <a16:creationId xmlns:a16="http://schemas.microsoft.com/office/drawing/2014/main" id="{FB6D49E8-C0F4-4D66-B65C-5E72F93E0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37</xdr:row>
      <xdr:rowOff>0</xdr:rowOff>
    </xdr:from>
    <xdr:to>
      <xdr:col>5</xdr:col>
      <xdr:colOff>219074</xdr:colOff>
      <xdr:row>44</xdr:row>
      <xdr:rowOff>185738</xdr:rowOff>
    </xdr:to>
    <xdr:graphicFrame macro="">
      <xdr:nvGraphicFramePr>
        <xdr:cNvPr id="12" name="Chart 11">
          <a:extLst>
            <a:ext uri="{FF2B5EF4-FFF2-40B4-BE49-F238E27FC236}">
              <a16:creationId xmlns:a16="http://schemas.microsoft.com/office/drawing/2014/main" id="{7201B1EA-B7B7-4AFD-96DF-33F58BB24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419100</xdr:colOff>
      <xdr:row>48</xdr:row>
      <xdr:rowOff>104775</xdr:rowOff>
    </xdr:from>
    <xdr:to>
      <xdr:col>3</xdr:col>
      <xdr:colOff>276226</xdr:colOff>
      <xdr:row>59</xdr:row>
      <xdr:rowOff>28574</xdr:rowOff>
    </xdr:to>
    <mc:AlternateContent xmlns:mc="http://schemas.openxmlformats.org/markup-compatibility/2006">
      <mc:Choice xmlns:a14="http://schemas.microsoft.com/office/drawing/2010/main" Requires="a14">
        <xdr:graphicFrame macro="">
          <xdr:nvGraphicFramePr>
            <xdr:cNvPr id="13" name="Department 1">
              <a:extLst>
                <a:ext uri="{FF2B5EF4-FFF2-40B4-BE49-F238E27FC236}">
                  <a16:creationId xmlns:a16="http://schemas.microsoft.com/office/drawing/2014/main" id="{ACBDC4BE-FF44-4532-9B81-468E4AC7548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419100" y="9248775"/>
              <a:ext cx="1685926" cy="201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85725</xdr:colOff>
      <xdr:row>49</xdr:row>
      <xdr:rowOff>0</xdr:rowOff>
    </xdr:from>
    <xdr:to>
      <xdr:col>5</xdr:col>
      <xdr:colOff>590550</xdr:colOff>
      <xdr:row>56</xdr:row>
      <xdr:rowOff>28574</xdr:rowOff>
    </xdr:to>
    <mc:AlternateContent xmlns:mc="http://schemas.openxmlformats.org/markup-compatibility/2006">
      <mc:Choice xmlns:a14="http://schemas.microsoft.com/office/drawing/2010/main" Requires="a14">
        <xdr:graphicFrame macro="">
          <xdr:nvGraphicFramePr>
            <xdr:cNvPr id="14" name="Gender 1">
              <a:extLst>
                <a:ext uri="{FF2B5EF4-FFF2-40B4-BE49-F238E27FC236}">
                  <a16:creationId xmlns:a16="http://schemas.microsoft.com/office/drawing/2014/main" id="{B41016F8-6C23-4ED2-AAB1-B567AFE1DFD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524125" y="9334500"/>
              <a:ext cx="1114425" cy="1362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485775</xdr:colOff>
      <xdr:row>48</xdr:row>
      <xdr:rowOff>171450</xdr:rowOff>
    </xdr:from>
    <xdr:to>
      <xdr:col>9</xdr:col>
      <xdr:colOff>142875</xdr:colOff>
      <xdr:row>58</xdr:row>
      <xdr:rowOff>66675</xdr:rowOff>
    </xdr:to>
    <mc:AlternateContent xmlns:mc="http://schemas.openxmlformats.org/markup-compatibility/2006">
      <mc:Choice xmlns:a14="http://schemas.microsoft.com/office/drawing/2010/main" Requires="a14">
        <xdr:graphicFrame macro="">
          <xdr:nvGraphicFramePr>
            <xdr:cNvPr id="15" name="Performance 1">
              <a:extLst>
                <a:ext uri="{FF2B5EF4-FFF2-40B4-BE49-F238E27FC236}">
                  <a16:creationId xmlns:a16="http://schemas.microsoft.com/office/drawing/2014/main" id="{C804B180-2BFE-44DE-A523-DEE26C4F0336}"/>
                </a:ext>
              </a:extLst>
            </xdr:cNvPr>
            <xdr:cNvGraphicFramePr/>
          </xdr:nvGraphicFramePr>
          <xdr:xfrm>
            <a:off x="0" y="0"/>
            <a:ext cx="0" cy="0"/>
          </xdr:xfrm>
          <a:graphic>
            <a:graphicData uri="http://schemas.microsoft.com/office/drawing/2010/slicer">
              <sle:slicer xmlns:sle="http://schemas.microsoft.com/office/drawing/2010/slicer" name="Performance 1"/>
            </a:graphicData>
          </a:graphic>
        </xdr:graphicFrame>
      </mc:Choice>
      <mc:Fallback>
        <xdr:sp macro="" textlink="">
          <xdr:nvSpPr>
            <xdr:cNvPr id="0" name=""/>
            <xdr:cNvSpPr>
              <a:spLocks noTextEdit="1"/>
            </xdr:cNvSpPr>
          </xdr:nvSpPr>
          <xdr:spPr>
            <a:xfrm>
              <a:off x="4143375" y="9315450"/>
              <a:ext cx="1485900" cy="1800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200025</xdr:colOff>
      <xdr:row>48</xdr:row>
      <xdr:rowOff>123825</xdr:rowOff>
    </xdr:from>
    <xdr:to>
      <xdr:col>13</xdr:col>
      <xdr:colOff>19050</xdr:colOff>
      <xdr:row>59</xdr:row>
      <xdr:rowOff>104775</xdr:rowOff>
    </xdr:to>
    <mc:AlternateContent xmlns:mc="http://schemas.openxmlformats.org/markup-compatibility/2006">
      <mc:Choice xmlns:a14="http://schemas.microsoft.com/office/drawing/2010/main" Requires="a14">
        <xdr:graphicFrame macro="">
          <xdr:nvGraphicFramePr>
            <xdr:cNvPr id="16" name="Attrition 1">
              <a:extLst>
                <a:ext uri="{FF2B5EF4-FFF2-40B4-BE49-F238E27FC236}">
                  <a16:creationId xmlns:a16="http://schemas.microsoft.com/office/drawing/2014/main" id="{9488CED2-150B-49A3-8CC3-8878DAAE21AB}"/>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dr:sp macro="" textlink="">
          <xdr:nvSpPr>
            <xdr:cNvPr id="0" name=""/>
            <xdr:cNvSpPr>
              <a:spLocks noTextEdit="1"/>
            </xdr:cNvSpPr>
          </xdr:nvSpPr>
          <xdr:spPr>
            <a:xfrm>
              <a:off x="6296025" y="9267825"/>
              <a:ext cx="1647825" cy="2076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3.963810069443" createdVersion="8" refreshedVersion="8" minRefreshableVersion="3" recordCount="301" xr:uid="{402F1218-D864-4A6C-BE46-1C744EDE66DA}">
  <cacheSource type="worksheet">
    <worksheetSource name="HRDatas"/>
  </cacheSource>
  <cacheFields count="12">
    <cacheField name="EmployeeID" numFmtId="0">
      <sharedItems containsString="0" containsBlank="1" containsNumber="1" containsInteger="1" minValue="1001" maxValue="1300"/>
    </cacheField>
    <cacheField name="Name" numFmtId="0">
      <sharedItems containsBlank="1"/>
    </cacheField>
    <cacheField name="Gender" numFmtId="0">
      <sharedItems containsBlank="1" count="3">
        <s v="Female"/>
        <s v="Male"/>
        <m/>
      </sharedItems>
    </cacheField>
    <cacheField name="Age" numFmtId="0">
      <sharedItems containsString="0" containsBlank="1" containsNumber="1" containsInteger="1" minValue="21" maxValue="44"/>
    </cacheField>
    <cacheField name="Department" numFmtId="0">
      <sharedItems containsBlank="1" count="7">
        <s v="Operations"/>
        <s v="IT"/>
        <s v="Marketing"/>
        <s v="Sales"/>
        <s v="HR"/>
        <s v="Finance"/>
        <m/>
      </sharedItems>
    </cacheField>
    <cacheField name="JobRole" numFmtId="0">
      <sharedItems containsBlank="1"/>
    </cacheField>
    <cacheField name="Salary" numFmtId="0">
      <sharedItems containsString="0" containsBlank="1" containsNumber="1" containsInteger="1" minValue="30096" maxValue="119960"/>
    </cacheField>
    <cacheField name="Experience" numFmtId="0">
      <sharedItems containsString="0" containsBlank="1" containsNumber="1" containsInteger="1" minValue="0" maxValue="15"/>
    </cacheField>
    <cacheField name="JoiningDate" numFmtId="0">
      <sharedItems containsBlank="1"/>
    </cacheField>
    <cacheField name="Performance" numFmtId="0">
      <sharedItems containsBlank="1" count="5">
        <s v="Good"/>
        <s v="Average"/>
        <s v="Needs Improvement"/>
        <s v="Excellent"/>
        <m/>
      </sharedItems>
    </cacheField>
    <cacheField name="Attrition" numFmtId="0">
      <sharedItems containsBlank="1" count="3">
        <s v="No"/>
        <s v="Yes"/>
        <m/>
      </sharedItems>
    </cacheField>
    <cacheField name="Location" numFmtId="0">
      <sharedItems containsBlank="1" count="7">
        <s v="Pune"/>
        <s v="Hyderabad"/>
        <s v="Delhi"/>
        <s v="Mumbai"/>
        <s v="Chennai"/>
        <s v="Bangalore"/>
        <m/>
      </sharedItems>
    </cacheField>
  </cacheFields>
  <extLst>
    <ext xmlns:x14="http://schemas.microsoft.com/office/spreadsheetml/2009/9/main" uri="{725AE2AE-9491-48be-B2B4-4EB974FC3084}">
      <x14:pivotCacheDefinition pivotCacheId="13441373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n v="1001"/>
    <s v="Vijay"/>
    <x v="0"/>
    <n v="31"/>
    <x v="0"/>
    <s v="Operations Executive"/>
    <n v="79524"/>
    <n v="4"/>
    <s v="21-Sep-2025"/>
    <x v="0"/>
    <x v="0"/>
    <x v="0"/>
  </r>
  <r>
    <n v="1002"/>
    <s v="Priya"/>
    <x v="0"/>
    <n v="26"/>
    <x v="0"/>
    <s v="Coordinator"/>
    <n v="38606"/>
    <n v="5"/>
    <s v="21-May-2018"/>
    <x v="1"/>
    <x v="0"/>
    <x v="1"/>
  </r>
  <r>
    <n v="1003"/>
    <s v="Divya"/>
    <x v="1"/>
    <n v="42"/>
    <x v="1"/>
    <s v="Data Analyst"/>
    <n v="74748"/>
    <n v="14"/>
    <s v="10-Aug-2019"/>
    <x v="1"/>
    <x v="0"/>
    <x v="1"/>
  </r>
  <r>
    <n v="1004"/>
    <s v="Pooja"/>
    <x v="1"/>
    <n v="31"/>
    <x v="0"/>
    <s v="Coordinator"/>
    <n v="117645"/>
    <n v="6"/>
    <s v="16-Dec-2022"/>
    <x v="1"/>
    <x v="0"/>
    <x v="2"/>
  </r>
  <r>
    <n v="1005"/>
    <s v="Meena"/>
    <x v="1"/>
    <n v="30"/>
    <x v="0"/>
    <s v="Coordinator"/>
    <n v="46886"/>
    <n v="9"/>
    <s v="24-Oct-2020"/>
    <x v="1"/>
    <x v="0"/>
    <x v="2"/>
  </r>
  <r>
    <n v="1006"/>
    <s v="Pooja"/>
    <x v="1"/>
    <n v="36"/>
    <x v="2"/>
    <s v="SEO Specialist"/>
    <n v="36836"/>
    <n v="8"/>
    <s v="06-Mar-2019"/>
    <x v="0"/>
    <x v="0"/>
    <x v="0"/>
  </r>
  <r>
    <n v="1007"/>
    <s v="Priya"/>
    <x v="0"/>
    <n v="33"/>
    <x v="1"/>
    <s v="Developer"/>
    <n v="107425"/>
    <n v="13"/>
    <s v="03-Dec-2021"/>
    <x v="1"/>
    <x v="0"/>
    <x v="2"/>
  </r>
  <r>
    <n v="1008"/>
    <s v="Suresh"/>
    <x v="1"/>
    <n v="36"/>
    <x v="1"/>
    <s v="Data Analyst"/>
    <n v="113981"/>
    <n v="14"/>
    <s v="12-May-2022"/>
    <x v="0"/>
    <x v="0"/>
    <x v="0"/>
  </r>
  <r>
    <n v="1009"/>
    <s v="Manoj"/>
    <x v="0"/>
    <n v="33"/>
    <x v="3"/>
    <s v="Sales Executive"/>
    <n v="67304"/>
    <n v="4"/>
    <s v="24-Dec-2023"/>
    <x v="2"/>
    <x v="0"/>
    <x v="0"/>
  </r>
  <r>
    <n v="1010"/>
    <s v="Vijay"/>
    <x v="0"/>
    <n v="29"/>
    <x v="4"/>
    <s v="Recruiter"/>
    <n v="94284"/>
    <n v="0"/>
    <s v="29-Sep-2019"/>
    <x v="3"/>
    <x v="0"/>
    <x v="1"/>
  </r>
  <r>
    <n v="1011"/>
    <s v="Manoj"/>
    <x v="0"/>
    <n v="37"/>
    <x v="0"/>
    <s v="Operations Executive"/>
    <n v="102520"/>
    <n v="8"/>
    <s v="01-Feb-2020"/>
    <x v="2"/>
    <x v="0"/>
    <x v="3"/>
  </r>
  <r>
    <n v="1012"/>
    <s v="Rohit"/>
    <x v="0"/>
    <n v="33"/>
    <x v="0"/>
    <s v="Coordinator"/>
    <n v="66044"/>
    <n v="8"/>
    <s v="19-Jan-2024"/>
    <x v="0"/>
    <x v="1"/>
    <x v="1"/>
  </r>
  <r>
    <n v="1013"/>
    <s v="Priya"/>
    <x v="1"/>
    <n v="27"/>
    <x v="0"/>
    <s v="Coordinator"/>
    <n v="61276"/>
    <n v="5"/>
    <s v="15-Dec-2022"/>
    <x v="2"/>
    <x v="0"/>
    <x v="0"/>
  </r>
  <r>
    <n v="1014"/>
    <s v="Amit"/>
    <x v="0"/>
    <n v="26"/>
    <x v="1"/>
    <s v="Developer"/>
    <n v="96530"/>
    <n v="1"/>
    <s v="09-Apr-2021"/>
    <x v="3"/>
    <x v="0"/>
    <x v="4"/>
  </r>
  <r>
    <n v="1015"/>
    <s v="Rahul"/>
    <x v="0"/>
    <n v="29"/>
    <x v="1"/>
    <s v="QA Engineer"/>
    <n v="41229"/>
    <n v="2"/>
    <s v="25-Mar-2023"/>
    <x v="0"/>
    <x v="0"/>
    <x v="0"/>
  </r>
  <r>
    <n v="1016"/>
    <s v="Nisha"/>
    <x v="0"/>
    <n v="25"/>
    <x v="5"/>
    <s v="Financial Analyst"/>
    <n v="97820"/>
    <n v="2"/>
    <s v="09-Oct-2019"/>
    <x v="3"/>
    <x v="0"/>
    <x v="2"/>
  </r>
  <r>
    <n v="1017"/>
    <s v="Vijay"/>
    <x v="0"/>
    <n v="33"/>
    <x v="0"/>
    <s v="Operations Executive"/>
    <n v="92968"/>
    <n v="13"/>
    <s v="16-Aug-2020"/>
    <x v="0"/>
    <x v="1"/>
    <x v="5"/>
  </r>
  <r>
    <n v="1018"/>
    <s v="Amit"/>
    <x v="1"/>
    <n v="30"/>
    <x v="4"/>
    <s v="HR Executive"/>
    <n v="63808"/>
    <n v="3"/>
    <s v="03-May-2025"/>
    <x v="3"/>
    <x v="1"/>
    <x v="0"/>
  </r>
  <r>
    <n v="1019"/>
    <s v="Kiran"/>
    <x v="0"/>
    <n v="25"/>
    <x v="1"/>
    <s v="Data Analyst"/>
    <n v="96933"/>
    <n v="5"/>
    <s v="19-Apr-2025"/>
    <x v="0"/>
    <x v="0"/>
    <x v="0"/>
  </r>
  <r>
    <n v="1020"/>
    <s v="Neha"/>
    <x v="1"/>
    <n v="29"/>
    <x v="4"/>
    <s v="Recruiter"/>
    <n v="59965"/>
    <n v="1"/>
    <s v="10-Jul-2019"/>
    <x v="0"/>
    <x v="1"/>
    <x v="5"/>
  </r>
  <r>
    <n v="1021"/>
    <s v="Kiran"/>
    <x v="1"/>
    <n v="41"/>
    <x v="0"/>
    <s v="Operations Executive"/>
    <n v="53585"/>
    <n v="15"/>
    <s v="23-Nov-2024"/>
    <x v="3"/>
    <x v="0"/>
    <x v="3"/>
  </r>
  <r>
    <n v="1022"/>
    <s v="Priya"/>
    <x v="0"/>
    <n v="31"/>
    <x v="1"/>
    <s v="Data Analyst"/>
    <n v="30485"/>
    <n v="3"/>
    <s v="17-Apr-2020"/>
    <x v="3"/>
    <x v="1"/>
    <x v="4"/>
  </r>
  <r>
    <n v="1023"/>
    <s v="Rohit"/>
    <x v="0"/>
    <n v="34"/>
    <x v="3"/>
    <s v="Sales Executive"/>
    <n v="38988"/>
    <n v="8"/>
    <s v="11-Sep-2020"/>
    <x v="3"/>
    <x v="0"/>
    <x v="2"/>
  </r>
  <r>
    <n v="1024"/>
    <s v="Ravi"/>
    <x v="1"/>
    <n v="27"/>
    <x v="1"/>
    <s v="QA Engineer"/>
    <n v="39005"/>
    <n v="0"/>
    <s v="23-Dec-2021"/>
    <x v="1"/>
    <x v="0"/>
    <x v="4"/>
  </r>
  <r>
    <n v="1025"/>
    <s v="Divya"/>
    <x v="0"/>
    <n v="41"/>
    <x v="5"/>
    <s v="Financial Analyst"/>
    <n v="92961"/>
    <n v="12"/>
    <s v="08-Mar-2020"/>
    <x v="3"/>
    <x v="0"/>
    <x v="2"/>
  </r>
  <r>
    <n v="1026"/>
    <s v="Manoj"/>
    <x v="1"/>
    <n v="29"/>
    <x v="0"/>
    <s v="Operations Executive"/>
    <n v="106318"/>
    <n v="0"/>
    <s v="07-Jan-2019"/>
    <x v="1"/>
    <x v="0"/>
    <x v="4"/>
  </r>
  <r>
    <n v="1027"/>
    <s v="Manoj"/>
    <x v="1"/>
    <n v="40"/>
    <x v="5"/>
    <s v="Accountant"/>
    <n v="53394"/>
    <n v="14"/>
    <s v="31-Jul-2023"/>
    <x v="2"/>
    <x v="0"/>
    <x v="4"/>
  </r>
  <r>
    <n v="1028"/>
    <s v="Ravi"/>
    <x v="0"/>
    <n v="38"/>
    <x v="3"/>
    <s v="Sales Executive"/>
    <n v="98915"/>
    <n v="12"/>
    <s v="31-Aug-2025"/>
    <x v="0"/>
    <x v="0"/>
    <x v="2"/>
  </r>
  <r>
    <n v="1029"/>
    <s v="Akash"/>
    <x v="0"/>
    <n v="36"/>
    <x v="2"/>
    <s v="SEO Specialist"/>
    <n v="113112"/>
    <n v="8"/>
    <s v="09-Jul-2022"/>
    <x v="0"/>
    <x v="0"/>
    <x v="2"/>
  </r>
  <r>
    <n v="1030"/>
    <s v="Anjali"/>
    <x v="0"/>
    <n v="38"/>
    <x v="3"/>
    <s v="Sales Manager"/>
    <n v="112040"/>
    <n v="15"/>
    <s v="16-Feb-2024"/>
    <x v="1"/>
    <x v="1"/>
    <x v="1"/>
  </r>
  <r>
    <n v="1031"/>
    <s v="Rahul"/>
    <x v="0"/>
    <n v="37"/>
    <x v="3"/>
    <s v="Sales Executive"/>
    <n v="52555"/>
    <n v="11"/>
    <s v="25-Mar-2022"/>
    <x v="2"/>
    <x v="0"/>
    <x v="0"/>
  </r>
  <r>
    <n v="1032"/>
    <s v="Akash"/>
    <x v="0"/>
    <n v="32"/>
    <x v="3"/>
    <s v="Sales Manager"/>
    <n v="75350"/>
    <n v="10"/>
    <s v="01-Nov-2018"/>
    <x v="1"/>
    <x v="0"/>
    <x v="0"/>
  </r>
  <r>
    <n v="1033"/>
    <s v="Kavya"/>
    <x v="1"/>
    <n v="34"/>
    <x v="0"/>
    <s v="Operations Executive"/>
    <n v="92095"/>
    <n v="12"/>
    <s v="16-Dec-2019"/>
    <x v="3"/>
    <x v="1"/>
    <x v="5"/>
  </r>
  <r>
    <n v="1034"/>
    <s v="Suresh"/>
    <x v="0"/>
    <n v="35"/>
    <x v="5"/>
    <s v="Financial Analyst"/>
    <n v="111783"/>
    <n v="8"/>
    <s v="01-Sep-2019"/>
    <x v="0"/>
    <x v="0"/>
    <x v="3"/>
  </r>
  <r>
    <n v="1035"/>
    <s v="Priya"/>
    <x v="0"/>
    <n v="37"/>
    <x v="3"/>
    <s v="Sales Manager"/>
    <n v="53469"/>
    <n v="15"/>
    <s v="13-May-2023"/>
    <x v="1"/>
    <x v="1"/>
    <x v="4"/>
  </r>
  <r>
    <n v="1036"/>
    <s v="Neha"/>
    <x v="1"/>
    <n v="25"/>
    <x v="3"/>
    <s v="Sales Executive"/>
    <n v="116768"/>
    <n v="3"/>
    <s v="31-Dec-2023"/>
    <x v="1"/>
    <x v="1"/>
    <x v="4"/>
  </r>
  <r>
    <n v="1037"/>
    <s v="Vijay"/>
    <x v="0"/>
    <n v="33"/>
    <x v="3"/>
    <s v="Sales Manager"/>
    <n v="97671"/>
    <n v="12"/>
    <s v="29-Sep-2019"/>
    <x v="2"/>
    <x v="1"/>
    <x v="0"/>
  </r>
  <r>
    <n v="1038"/>
    <s v="Divya"/>
    <x v="1"/>
    <n v="35"/>
    <x v="4"/>
    <s v="HR Executive"/>
    <n v="119611"/>
    <n v="6"/>
    <s v="10-Mar-2024"/>
    <x v="2"/>
    <x v="0"/>
    <x v="1"/>
  </r>
  <r>
    <n v="1039"/>
    <s v="Rohit"/>
    <x v="0"/>
    <n v="26"/>
    <x v="5"/>
    <s v="Financial Analyst"/>
    <n v="104413"/>
    <n v="2"/>
    <s v="29-Nov-2025"/>
    <x v="2"/>
    <x v="0"/>
    <x v="3"/>
  </r>
  <r>
    <n v="1040"/>
    <s v="Anjali"/>
    <x v="1"/>
    <n v="41"/>
    <x v="4"/>
    <s v="Recruiter"/>
    <n v="55038"/>
    <n v="14"/>
    <s v="13-Oct-2019"/>
    <x v="0"/>
    <x v="0"/>
    <x v="1"/>
  </r>
  <r>
    <n v="1041"/>
    <s v="Sneha"/>
    <x v="1"/>
    <n v="35"/>
    <x v="5"/>
    <s v="Financial Analyst"/>
    <n v="90580"/>
    <n v="9"/>
    <s v="08-Jul-2020"/>
    <x v="3"/>
    <x v="0"/>
    <x v="0"/>
  </r>
  <r>
    <n v="1042"/>
    <s v="Neha"/>
    <x v="0"/>
    <n v="26"/>
    <x v="0"/>
    <s v="Operations Executive"/>
    <n v="73156"/>
    <n v="3"/>
    <s v="01-Jan-2025"/>
    <x v="0"/>
    <x v="0"/>
    <x v="1"/>
  </r>
  <r>
    <n v="1043"/>
    <s v="Rahul"/>
    <x v="0"/>
    <n v="41"/>
    <x v="2"/>
    <s v="Marketing Executive"/>
    <n v="109734"/>
    <n v="12"/>
    <s v="19-Dec-2022"/>
    <x v="1"/>
    <x v="0"/>
    <x v="0"/>
  </r>
  <r>
    <n v="1044"/>
    <s v="Rohit"/>
    <x v="1"/>
    <n v="26"/>
    <x v="1"/>
    <s v="Developer"/>
    <n v="79749"/>
    <n v="1"/>
    <s v="27-Dec-2021"/>
    <x v="2"/>
    <x v="0"/>
    <x v="5"/>
  </r>
  <r>
    <n v="1045"/>
    <s v="Vijay"/>
    <x v="1"/>
    <n v="31"/>
    <x v="5"/>
    <s v="Financial Analyst"/>
    <n v="66459"/>
    <n v="10"/>
    <s v="29-Aug-2025"/>
    <x v="2"/>
    <x v="1"/>
    <x v="2"/>
  </r>
  <r>
    <n v="1046"/>
    <s v="Ravi"/>
    <x v="0"/>
    <n v="24"/>
    <x v="4"/>
    <s v="Recruiter"/>
    <n v="94987"/>
    <n v="4"/>
    <s v="05-May-2024"/>
    <x v="3"/>
    <x v="0"/>
    <x v="4"/>
  </r>
  <r>
    <n v="1047"/>
    <s v="Neha"/>
    <x v="0"/>
    <n v="40"/>
    <x v="2"/>
    <s v="SEO Specialist"/>
    <n v="118164"/>
    <n v="10"/>
    <s v="10-Apr-2021"/>
    <x v="1"/>
    <x v="0"/>
    <x v="1"/>
  </r>
  <r>
    <n v="1048"/>
    <s v="Kavya"/>
    <x v="1"/>
    <n v="32"/>
    <x v="3"/>
    <s v="Sales Executive"/>
    <n v="79972"/>
    <n v="8"/>
    <s v="17-Nov-2023"/>
    <x v="3"/>
    <x v="0"/>
    <x v="5"/>
  </r>
  <r>
    <n v="1049"/>
    <s v="Kiran"/>
    <x v="0"/>
    <n v="33"/>
    <x v="3"/>
    <s v="Sales Executive"/>
    <n v="43197"/>
    <n v="5"/>
    <s v="27-Nov-2022"/>
    <x v="0"/>
    <x v="1"/>
    <x v="1"/>
  </r>
  <r>
    <n v="1050"/>
    <s v="Asha"/>
    <x v="1"/>
    <n v="39"/>
    <x v="4"/>
    <s v="Recruiter"/>
    <n v="104315"/>
    <n v="12"/>
    <s v="03-Sep-2025"/>
    <x v="0"/>
    <x v="0"/>
    <x v="3"/>
  </r>
  <r>
    <n v="1051"/>
    <s v="Ravi"/>
    <x v="1"/>
    <n v="34"/>
    <x v="1"/>
    <s v="QA Engineer"/>
    <n v="91455"/>
    <n v="12"/>
    <s v="23-Mar-2024"/>
    <x v="3"/>
    <x v="0"/>
    <x v="0"/>
  </r>
  <r>
    <n v="1052"/>
    <s v="Rahul"/>
    <x v="1"/>
    <n v="24"/>
    <x v="3"/>
    <s v="Sales Executive"/>
    <n v="115463"/>
    <n v="0"/>
    <s v="04-Jun-2024"/>
    <x v="1"/>
    <x v="0"/>
    <x v="0"/>
  </r>
  <r>
    <n v="1053"/>
    <s v="Akash"/>
    <x v="0"/>
    <n v="22"/>
    <x v="3"/>
    <s v="Sales Executive"/>
    <n v="59089"/>
    <n v="1"/>
    <s v="19-Mar-2021"/>
    <x v="2"/>
    <x v="1"/>
    <x v="5"/>
  </r>
  <r>
    <n v="1054"/>
    <s v="Ravi"/>
    <x v="0"/>
    <n v="34"/>
    <x v="3"/>
    <s v="Sales Manager"/>
    <n v="92906"/>
    <n v="13"/>
    <s v="14-Oct-2020"/>
    <x v="3"/>
    <x v="0"/>
    <x v="2"/>
  </r>
  <r>
    <n v="1055"/>
    <s v="Rohit"/>
    <x v="0"/>
    <n v="42"/>
    <x v="3"/>
    <s v="Sales Manager"/>
    <n v="102346"/>
    <n v="15"/>
    <s v="04-Apr-2023"/>
    <x v="0"/>
    <x v="1"/>
    <x v="4"/>
  </r>
  <r>
    <n v="1056"/>
    <s v="Vijay"/>
    <x v="0"/>
    <n v="32"/>
    <x v="1"/>
    <s v="Developer"/>
    <n v="108243"/>
    <n v="2"/>
    <s v="17-Mar-2020"/>
    <x v="0"/>
    <x v="0"/>
    <x v="2"/>
  </r>
  <r>
    <n v="1057"/>
    <s v="Priya"/>
    <x v="0"/>
    <n v="34"/>
    <x v="5"/>
    <s v="Financial Analyst"/>
    <n v="108198"/>
    <n v="14"/>
    <s v="19-Aug-2025"/>
    <x v="3"/>
    <x v="1"/>
    <x v="1"/>
  </r>
  <r>
    <n v="1058"/>
    <s v="Kavya"/>
    <x v="0"/>
    <n v="21"/>
    <x v="4"/>
    <s v="HR Executive"/>
    <n v="110999"/>
    <n v="0"/>
    <s v="06-May-2023"/>
    <x v="3"/>
    <x v="0"/>
    <x v="4"/>
  </r>
  <r>
    <n v="1059"/>
    <s v="Anjali"/>
    <x v="0"/>
    <n v="29"/>
    <x v="0"/>
    <s v="Operations Executive"/>
    <n v="74002"/>
    <n v="6"/>
    <s v="15-Apr-2021"/>
    <x v="3"/>
    <x v="0"/>
    <x v="4"/>
  </r>
  <r>
    <n v="1060"/>
    <s v="Anjali"/>
    <x v="0"/>
    <n v="25"/>
    <x v="4"/>
    <s v="Recruiter"/>
    <n v="63608"/>
    <n v="5"/>
    <s v="20-Jul-2022"/>
    <x v="0"/>
    <x v="0"/>
    <x v="0"/>
  </r>
  <r>
    <n v="1061"/>
    <s v="Divya"/>
    <x v="0"/>
    <n v="39"/>
    <x v="4"/>
    <s v="HR Executive"/>
    <n v="39817"/>
    <n v="9"/>
    <s v="15-Aug-2024"/>
    <x v="1"/>
    <x v="0"/>
    <x v="2"/>
  </r>
  <r>
    <n v="1062"/>
    <s v="Priya"/>
    <x v="0"/>
    <n v="34"/>
    <x v="3"/>
    <s v="Sales Manager"/>
    <n v="78105"/>
    <n v="11"/>
    <s v="12-Jan-2025"/>
    <x v="0"/>
    <x v="1"/>
    <x v="5"/>
  </r>
  <r>
    <n v="1063"/>
    <s v="Rohit"/>
    <x v="1"/>
    <n v="32"/>
    <x v="5"/>
    <s v="Financial Analyst"/>
    <n v="37620"/>
    <n v="11"/>
    <s v="13-Apr-2023"/>
    <x v="2"/>
    <x v="0"/>
    <x v="2"/>
  </r>
  <r>
    <n v="1064"/>
    <s v="Pooja"/>
    <x v="0"/>
    <n v="38"/>
    <x v="0"/>
    <s v="Operations Executive"/>
    <n v="77524"/>
    <n v="12"/>
    <s v="03-May-2021"/>
    <x v="3"/>
    <x v="1"/>
    <x v="4"/>
  </r>
  <r>
    <n v="1065"/>
    <s v="Rahul"/>
    <x v="0"/>
    <n v="23"/>
    <x v="5"/>
    <s v="Accountant"/>
    <n v="80562"/>
    <n v="3"/>
    <s v="31-Jan-2023"/>
    <x v="3"/>
    <x v="1"/>
    <x v="3"/>
  </r>
  <r>
    <n v="1066"/>
    <s v="Nisha"/>
    <x v="0"/>
    <n v="27"/>
    <x v="0"/>
    <s v="Coordinator"/>
    <n v="107470"/>
    <n v="5"/>
    <s v="24-Oct-2024"/>
    <x v="1"/>
    <x v="0"/>
    <x v="5"/>
  </r>
  <r>
    <n v="1067"/>
    <s v="Rahul"/>
    <x v="0"/>
    <n v="28"/>
    <x v="2"/>
    <s v="Marketing Executive"/>
    <n v="71211"/>
    <n v="3"/>
    <s v="10-Mar-2024"/>
    <x v="0"/>
    <x v="0"/>
    <x v="4"/>
  </r>
  <r>
    <n v="1068"/>
    <s v="Meena"/>
    <x v="1"/>
    <n v="27"/>
    <x v="2"/>
    <s v="Marketing Executive"/>
    <n v="52604"/>
    <n v="7"/>
    <s v="16-Oct-2023"/>
    <x v="1"/>
    <x v="1"/>
    <x v="3"/>
  </r>
  <r>
    <n v="1069"/>
    <s v="Pooja"/>
    <x v="1"/>
    <n v="34"/>
    <x v="4"/>
    <s v="Recruiter"/>
    <n v="93333"/>
    <n v="11"/>
    <s v="12-Jul-2024"/>
    <x v="3"/>
    <x v="0"/>
    <x v="5"/>
  </r>
  <r>
    <n v="1070"/>
    <s v="Kavya"/>
    <x v="0"/>
    <n v="24"/>
    <x v="2"/>
    <s v="SEO Specialist"/>
    <n v="52701"/>
    <n v="0"/>
    <s v="06-Jan-2021"/>
    <x v="2"/>
    <x v="0"/>
    <x v="3"/>
  </r>
  <r>
    <n v="1071"/>
    <s v="Pooja"/>
    <x v="1"/>
    <n v="38"/>
    <x v="0"/>
    <s v="Operations Executive"/>
    <n v="81627"/>
    <n v="15"/>
    <s v="28-May-2023"/>
    <x v="1"/>
    <x v="1"/>
    <x v="5"/>
  </r>
  <r>
    <n v="1072"/>
    <s v="Meena"/>
    <x v="1"/>
    <n v="33"/>
    <x v="4"/>
    <s v="Recruiter"/>
    <n v="93634"/>
    <n v="6"/>
    <s v="26-Nov-2018"/>
    <x v="1"/>
    <x v="1"/>
    <x v="1"/>
  </r>
  <r>
    <n v="1073"/>
    <s v="Divya"/>
    <x v="1"/>
    <n v="27"/>
    <x v="5"/>
    <s v="Accountant"/>
    <n v="83527"/>
    <n v="2"/>
    <s v="04-Mar-2024"/>
    <x v="0"/>
    <x v="0"/>
    <x v="4"/>
  </r>
  <r>
    <n v="1074"/>
    <s v="Suresh"/>
    <x v="1"/>
    <n v="26"/>
    <x v="4"/>
    <s v="Recruiter"/>
    <n v="103896"/>
    <n v="1"/>
    <s v="24-Feb-2022"/>
    <x v="0"/>
    <x v="0"/>
    <x v="5"/>
  </r>
  <r>
    <n v="1075"/>
    <s v="Divya"/>
    <x v="1"/>
    <n v="33"/>
    <x v="3"/>
    <s v="Sales Manager"/>
    <n v="60177"/>
    <n v="6"/>
    <s v="17-Aug-2019"/>
    <x v="2"/>
    <x v="0"/>
    <x v="1"/>
  </r>
  <r>
    <n v="1076"/>
    <s v="Kavya"/>
    <x v="1"/>
    <n v="37"/>
    <x v="2"/>
    <s v="SEO Specialist"/>
    <n v="110833"/>
    <n v="14"/>
    <s v="30-Aug-2023"/>
    <x v="2"/>
    <x v="0"/>
    <x v="4"/>
  </r>
  <r>
    <n v="1077"/>
    <s v="Akash"/>
    <x v="1"/>
    <n v="30"/>
    <x v="3"/>
    <s v="Sales Manager"/>
    <n v="43805"/>
    <n v="7"/>
    <s v="20-Jul-2025"/>
    <x v="3"/>
    <x v="0"/>
    <x v="0"/>
  </r>
  <r>
    <n v="1078"/>
    <s v="Meena"/>
    <x v="0"/>
    <n v="23"/>
    <x v="5"/>
    <s v="Accountant"/>
    <n v="109534"/>
    <n v="1"/>
    <s v="18-Mar-2019"/>
    <x v="3"/>
    <x v="1"/>
    <x v="0"/>
  </r>
  <r>
    <n v="1079"/>
    <s v="Nisha"/>
    <x v="1"/>
    <n v="31"/>
    <x v="2"/>
    <s v="SEO Specialist"/>
    <n v="88156"/>
    <n v="3"/>
    <s v="25-Jul-2022"/>
    <x v="1"/>
    <x v="0"/>
    <x v="0"/>
  </r>
  <r>
    <n v="1080"/>
    <s v="Priya"/>
    <x v="1"/>
    <n v="30"/>
    <x v="0"/>
    <s v="Operations Executive"/>
    <n v="52021"/>
    <n v="4"/>
    <s v="17-Sep-2020"/>
    <x v="3"/>
    <x v="0"/>
    <x v="2"/>
  </r>
  <r>
    <n v="1081"/>
    <s v="Pooja"/>
    <x v="1"/>
    <n v="23"/>
    <x v="3"/>
    <s v="Sales Manager"/>
    <n v="70604"/>
    <n v="1"/>
    <s v="17-Sep-2018"/>
    <x v="3"/>
    <x v="0"/>
    <x v="5"/>
  </r>
  <r>
    <n v="1082"/>
    <s v="Neha"/>
    <x v="0"/>
    <n v="30"/>
    <x v="4"/>
    <s v="Recruiter"/>
    <n v="55095"/>
    <n v="2"/>
    <s v="11-Jun-2019"/>
    <x v="2"/>
    <x v="0"/>
    <x v="2"/>
  </r>
  <r>
    <n v="1083"/>
    <s v="Manoj"/>
    <x v="0"/>
    <n v="42"/>
    <x v="0"/>
    <s v="Operations Executive"/>
    <n v="79210"/>
    <n v="14"/>
    <s v="25-May-2022"/>
    <x v="0"/>
    <x v="0"/>
    <x v="2"/>
  </r>
  <r>
    <n v="1084"/>
    <s v="Amit"/>
    <x v="0"/>
    <n v="28"/>
    <x v="5"/>
    <s v="Accountant"/>
    <n v="63760"/>
    <n v="1"/>
    <s v="08-Mar-2026"/>
    <x v="0"/>
    <x v="0"/>
    <x v="2"/>
  </r>
  <r>
    <n v="1085"/>
    <s v="Manoj"/>
    <x v="1"/>
    <n v="36"/>
    <x v="1"/>
    <s v="Data Analyst"/>
    <n v="88477"/>
    <n v="8"/>
    <s v="03-Sep-2020"/>
    <x v="3"/>
    <x v="0"/>
    <x v="2"/>
  </r>
  <r>
    <n v="1086"/>
    <s v="Vijay"/>
    <x v="1"/>
    <n v="31"/>
    <x v="3"/>
    <s v="Sales Executive"/>
    <n v="82389"/>
    <n v="4"/>
    <s v="10-Jan-2026"/>
    <x v="1"/>
    <x v="1"/>
    <x v="3"/>
  </r>
  <r>
    <n v="1087"/>
    <s v="Priya"/>
    <x v="0"/>
    <n v="37"/>
    <x v="4"/>
    <s v="Recruiter"/>
    <n v="118232"/>
    <n v="15"/>
    <s v="08-Jan-2022"/>
    <x v="0"/>
    <x v="0"/>
    <x v="0"/>
  </r>
  <r>
    <n v="1088"/>
    <s v="Rohit"/>
    <x v="0"/>
    <n v="25"/>
    <x v="4"/>
    <s v="Recruiter"/>
    <n v="109347"/>
    <n v="2"/>
    <s v="05-Jan-2024"/>
    <x v="1"/>
    <x v="0"/>
    <x v="5"/>
  </r>
  <r>
    <n v="1089"/>
    <s v="Neha"/>
    <x v="0"/>
    <n v="35"/>
    <x v="4"/>
    <s v="Recruiter"/>
    <n v="119822"/>
    <n v="13"/>
    <s v="08-Aug-2023"/>
    <x v="2"/>
    <x v="0"/>
    <x v="1"/>
  </r>
  <r>
    <n v="1090"/>
    <s v="Anjali"/>
    <x v="1"/>
    <n v="35"/>
    <x v="3"/>
    <s v="Sales Manager"/>
    <n v="105863"/>
    <n v="14"/>
    <s v="17-Jan-2019"/>
    <x v="3"/>
    <x v="0"/>
    <x v="5"/>
  </r>
  <r>
    <n v="1091"/>
    <s v="Ravi"/>
    <x v="1"/>
    <n v="37"/>
    <x v="4"/>
    <s v="Recruiter"/>
    <n v="85900"/>
    <n v="14"/>
    <s v="11-Jan-2023"/>
    <x v="2"/>
    <x v="0"/>
    <x v="2"/>
  </r>
  <r>
    <n v="1092"/>
    <s v="Arjun"/>
    <x v="0"/>
    <n v="31"/>
    <x v="0"/>
    <s v="Coordinator"/>
    <n v="42329"/>
    <n v="1"/>
    <s v="29-Jul-2020"/>
    <x v="2"/>
    <x v="0"/>
    <x v="2"/>
  </r>
  <r>
    <n v="1093"/>
    <s v="Arjun"/>
    <x v="1"/>
    <n v="39"/>
    <x v="3"/>
    <s v="Sales Manager"/>
    <n v="110980"/>
    <n v="9"/>
    <s v="21-May-2023"/>
    <x v="1"/>
    <x v="0"/>
    <x v="3"/>
  </r>
  <r>
    <n v="1094"/>
    <s v="Manoj"/>
    <x v="1"/>
    <n v="36"/>
    <x v="3"/>
    <s v="Sales Manager"/>
    <n v="98663"/>
    <n v="12"/>
    <s v="27-Mar-2021"/>
    <x v="2"/>
    <x v="0"/>
    <x v="0"/>
  </r>
  <r>
    <n v="1095"/>
    <s v="Vijay"/>
    <x v="1"/>
    <n v="30"/>
    <x v="2"/>
    <s v="SEO Specialist"/>
    <n v="61014"/>
    <n v="4"/>
    <s v="28-Oct-2018"/>
    <x v="0"/>
    <x v="0"/>
    <x v="1"/>
  </r>
  <r>
    <n v="1096"/>
    <s v="Neha"/>
    <x v="1"/>
    <n v="41"/>
    <x v="4"/>
    <s v="Recruiter"/>
    <n v="40769"/>
    <n v="11"/>
    <s v="27-May-2022"/>
    <x v="2"/>
    <x v="0"/>
    <x v="4"/>
  </r>
  <r>
    <n v="1097"/>
    <s v="Ravi"/>
    <x v="1"/>
    <n v="38"/>
    <x v="2"/>
    <s v="Marketing Executive"/>
    <n v="68230"/>
    <n v="10"/>
    <s v="03-Sep-2020"/>
    <x v="0"/>
    <x v="0"/>
    <x v="4"/>
  </r>
  <r>
    <n v="1098"/>
    <s v="Asha"/>
    <x v="0"/>
    <n v="37"/>
    <x v="2"/>
    <s v="SEO Specialist"/>
    <n v="96163"/>
    <n v="7"/>
    <s v="15-Dec-2022"/>
    <x v="2"/>
    <x v="0"/>
    <x v="2"/>
  </r>
  <r>
    <n v="1099"/>
    <s v="Pooja"/>
    <x v="0"/>
    <n v="34"/>
    <x v="3"/>
    <s v="Sales Manager"/>
    <n v="42130"/>
    <n v="11"/>
    <s v="24-Feb-2019"/>
    <x v="1"/>
    <x v="0"/>
    <x v="5"/>
  </r>
  <r>
    <n v="1100"/>
    <s v="Kavya"/>
    <x v="0"/>
    <n v="40"/>
    <x v="4"/>
    <s v="Recruiter"/>
    <n v="114766"/>
    <n v="10"/>
    <s v="29-Apr-2020"/>
    <x v="1"/>
    <x v="0"/>
    <x v="4"/>
  </r>
  <r>
    <n v="1101"/>
    <s v="Arjun"/>
    <x v="0"/>
    <n v="39"/>
    <x v="4"/>
    <s v="Recruiter"/>
    <n v="82755"/>
    <n v="14"/>
    <s v="08-Sep-2020"/>
    <x v="2"/>
    <x v="0"/>
    <x v="4"/>
  </r>
  <r>
    <n v="1102"/>
    <s v="Rohit"/>
    <x v="1"/>
    <n v="38"/>
    <x v="3"/>
    <s v="Sales Manager"/>
    <n v="106138"/>
    <n v="15"/>
    <s v="23-Nov-2025"/>
    <x v="1"/>
    <x v="0"/>
    <x v="5"/>
  </r>
  <r>
    <n v="1103"/>
    <s v="Kiran"/>
    <x v="1"/>
    <n v="23"/>
    <x v="4"/>
    <s v="Recruiter"/>
    <n v="77328"/>
    <n v="2"/>
    <s v="26-Jan-2022"/>
    <x v="1"/>
    <x v="0"/>
    <x v="2"/>
  </r>
  <r>
    <n v="1104"/>
    <s v="Rohit"/>
    <x v="0"/>
    <n v="26"/>
    <x v="2"/>
    <s v="SEO Specialist"/>
    <n v="101152"/>
    <n v="5"/>
    <s v="02-May-2019"/>
    <x v="0"/>
    <x v="1"/>
    <x v="4"/>
  </r>
  <r>
    <n v="1105"/>
    <s v="Amit"/>
    <x v="1"/>
    <n v="37"/>
    <x v="5"/>
    <s v="Accountant"/>
    <n v="41934"/>
    <n v="11"/>
    <s v="12-Apr-2022"/>
    <x v="1"/>
    <x v="0"/>
    <x v="5"/>
  </r>
  <r>
    <n v="1106"/>
    <s v="Sneha"/>
    <x v="0"/>
    <n v="38"/>
    <x v="2"/>
    <s v="Marketing Executive"/>
    <n v="61312"/>
    <n v="12"/>
    <s v="25-Mar-2022"/>
    <x v="0"/>
    <x v="0"/>
    <x v="5"/>
  </r>
  <r>
    <n v="1107"/>
    <s v="Pooja"/>
    <x v="1"/>
    <n v="26"/>
    <x v="3"/>
    <s v="Sales Executive"/>
    <n v="68528"/>
    <n v="0"/>
    <s v="31-Jan-2018"/>
    <x v="2"/>
    <x v="0"/>
    <x v="5"/>
  </r>
  <r>
    <n v="1108"/>
    <s v="Ravi"/>
    <x v="1"/>
    <n v="35"/>
    <x v="4"/>
    <s v="HR Executive"/>
    <n v="63977"/>
    <n v="13"/>
    <s v="06-Jan-2020"/>
    <x v="0"/>
    <x v="0"/>
    <x v="3"/>
  </r>
  <r>
    <n v="1109"/>
    <s v="Arjun"/>
    <x v="0"/>
    <n v="43"/>
    <x v="5"/>
    <s v="Accountant"/>
    <n v="95686"/>
    <n v="14"/>
    <s v="09-Apr-2022"/>
    <x v="3"/>
    <x v="0"/>
    <x v="1"/>
  </r>
  <r>
    <n v="1110"/>
    <s v="Amit"/>
    <x v="1"/>
    <n v="35"/>
    <x v="2"/>
    <s v="SEO Specialist"/>
    <n v="78870"/>
    <n v="14"/>
    <s v="05-May-2019"/>
    <x v="0"/>
    <x v="0"/>
    <x v="2"/>
  </r>
  <r>
    <n v="1111"/>
    <s v="Neha"/>
    <x v="0"/>
    <n v="32"/>
    <x v="3"/>
    <s v="Sales Executive"/>
    <n v="74931"/>
    <n v="6"/>
    <s v="11-Oct-2019"/>
    <x v="3"/>
    <x v="0"/>
    <x v="0"/>
  </r>
  <r>
    <n v="1112"/>
    <s v="Sneha"/>
    <x v="1"/>
    <n v="21"/>
    <x v="5"/>
    <s v="Accountant"/>
    <n v="99519"/>
    <n v="0"/>
    <s v="04-Jul-2023"/>
    <x v="0"/>
    <x v="0"/>
    <x v="0"/>
  </r>
  <r>
    <n v="1113"/>
    <s v="Manoj"/>
    <x v="0"/>
    <n v="33"/>
    <x v="5"/>
    <s v="Financial Analyst"/>
    <n v="107992"/>
    <n v="7"/>
    <s v="04-Dec-2018"/>
    <x v="1"/>
    <x v="0"/>
    <x v="2"/>
  </r>
  <r>
    <n v="1114"/>
    <s v="Arjun"/>
    <x v="1"/>
    <n v="32"/>
    <x v="5"/>
    <s v="Financial Analyst"/>
    <n v="62725"/>
    <n v="4"/>
    <s v="24-Apr-2025"/>
    <x v="0"/>
    <x v="0"/>
    <x v="0"/>
  </r>
  <r>
    <n v="1115"/>
    <s v="Suresh"/>
    <x v="1"/>
    <n v="25"/>
    <x v="1"/>
    <s v="QA Engineer"/>
    <n v="105732"/>
    <n v="1"/>
    <s v="07-Sep-2019"/>
    <x v="0"/>
    <x v="0"/>
    <x v="3"/>
  </r>
  <r>
    <n v="1116"/>
    <s v="Kiran"/>
    <x v="1"/>
    <n v="27"/>
    <x v="1"/>
    <s v="Data Analyst"/>
    <n v="61877"/>
    <n v="5"/>
    <s v="06-Jun-2025"/>
    <x v="0"/>
    <x v="0"/>
    <x v="2"/>
  </r>
  <r>
    <n v="1117"/>
    <s v="Manoj"/>
    <x v="1"/>
    <n v="37"/>
    <x v="1"/>
    <s v="Developer"/>
    <n v="94606"/>
    <n v="7"/>
    <s v="18-Apr-2020"/>
    <x v="2"/>
    <x v="1"/>
    <x v="2"/>
  </r>
  <r>
    <n v="1118"/>
    <s v="Pooja"/>
    <x v="1"/>
    <n v="32"/>
    <x v="0"/>
    <s v="Coordinator"/>
    <n v="108660"/>
    <n v="4"/>
    <s v="07-Feb-2025"/>
    <x v="2"/>
    <x v="0"/>
    <x v="4"/>
  </r>
  <r>
    <n v="1119"/>
    <s v="Sneha"/>
    <x v="0"/>
    <n v="43"/>
    <x v="1"/>
    <s v="Developer"/>
    <n v="105914"/>
    <n v="15"/>
    <s v="01-May-2022"/>
    <x v="1"/>
    <x v="0"/>
    <x v="3"/>
  </r>
  <r>
    <n v="1120"/>
    <s v="Meena"/>
    <x v="1"/>
    <n v="38"/>
    <x v="4"/>
    <s v="HR Executive"/>
    <n v="95790"/>
    <n v="11"/>
    <s v="26-Jul-2022"/>
    <x v="3"/>
    <x v="0"/>
    <x v="5"/>
  </r>
  <r>
    <n v="1121"/>
    <s v="Vijay"/>
    <x v="0"/>
    <n v="43"/>
    <x v="0"/>
    <s v="Operations Executive"/>
    <n v="114803"/>
    <n v="14"/>
    <s v="22-Jan-2026"/>
    <x v="0"/>
    <x v="0"/>
    <x v="4"/>
  </r>
  <r>
    <n v="1122"/>
    <s v="Sneha"/>
    <x v="1"/>
    <n v="30"/>
    <x v="2"/>
    <s v="Marketing Executive"/>
    <n v="45521"/>
    <n v="4"/>
    <s v="02-Oct-2020"/>
    <x v="3"/>
    <x v="0"/>
    <x v="1"/>
  </r>
  <r>
    <n v="1123"/>
    <s v="Rohit"/>
    <x v="1"/>
    <n v="28"/>
    <x v="2"/>
    <s v="Marketing Executive"/>
    <n v="41792"/>
    <n v="5"/>
    <s v="26-Apr-2022"/>
    <x v="1"/>
    <x v="0"/>
    <x v="2"/>
  </r>
  <r>
    <n v="1124"/>
    <s v="Divya"/>
    <x v="1"/>
    <n v="27"/>
    <x v="2"/>
    <s v="Marketing Executive"/>
    <n v="76807"/>
    <n v="0"/>
    <s v="02-Sep-2023"/>
    <x v="2"/>
    <x v="0"/>
    <x v="2"/>
  </r>
  <r>
    <n v="1125"/>
    <s v="Kiran"/>
    <x v="1"/>
    <n v="35"/>
    <x v="2"/>
    <s v="Marketing Executive"/>
    <n v="70595"/>
    <n v="11"/>
    <s v="14-Jan-2021"/>
    <x v="2"/>
    <x v="0"/>
    <x v="5"/>
  </r>
  <r>
    <n v="1126"/>
    <s v="Anjali"/>
    <x v="0"/>
    <n v="33"/>
    <x v="3"/>
    <s v="Sales Manager"/>
    <n v="30212"/>
    <n v="10"/>
    <s v="22-Jun-2020"/>
    <x v="2"/>
    <x v="0"/>
    <x v="0"/>
  </r>
  <r>
    <n v="1127"/>
    <s v="Rahul"/>
    <x v="1"/>
    <n v="32"/>
    <x v="0"/>
    <s v="Coordinator"/>
    <n v="80763"/>
    <n v="9"/>
    <s v="20-Nov-2024"/>
    <x v="0"/>
    <x v="0"/>
    <x v="4"/>
  </r>
  <r>
    <n v="1128"/>
    <s v="Asha"/>
    <x v="0"/>
    <n v="23"/>
    <x v="4"/>
    <s v="Recruiter"/>
    <n v="45843"/>
    <n v="1"/>
    <s v="17-Mar-2020"/>
    <x v="3"/>
    <x v="1"/>
    <x v="0"/>
  </r>
  <r>
    <n v="1129"/>
    <s v="Manoj"/>
    <x v="1"/>
    <n v="32"/>
    <x v="0"/>
    <s v="Coordinator"/>
    <n v="69515"/>
    <n v="12"/>
    <s v="06-Dec-2020"/>
    <x v="0"/>
    <x v="0"/>
    <x v="4"/>
  </r>
  <r>
    <n v="1130"/>
    <s v="Rohit"/>
    <x v="0"/>
    <n v="36"/>
    <x v="3"/>
    <s v="Sales Manager"/>
    <n v="31823"/>
    <n v="8"/>
    <s v="18-Jun-2022"/>
    <x v="1"/>
    <x v="0"/>
    <x v="4"/>
  </r>
  <r>
    <n v="1131"/>
    <s v="Manoj"/>
    <x v="0"/>
    <n v="38"/>
    <x v="3"/>
    <s v="Sales Executive"/>
    <n v="70524"/>
    <n v="8"/>
    <s v="05-Jul-2022"/>
    <x v="1"/>
    <x v="0"/>
    <x v="4"/>
  </r>
  <r>
    <n v="1132"/>
    <s v="Sneha"/>
    <x v="1"/>
    <n v="36"/>
    <x v="2"/>
    <s v="SEO Specialist"/>
    <n v="113583"/>
    <n v="15"/>
    <s v="21-Jan-2024"/>
    <x v="0"/>
    <x v="0"/>
    <x v="5"/>
  </r>
  <r>
    <n v="1133"/>
    <s v="Neha"/>
    <x v="1"/>
    <n v="33"/>
    <x v="2"/>
    <s v="Marketing Executive"/>
    <n v="95322"/>
    <n v="9"/>
    <s v="04-Aug-2024"/>
    <x v="1"/>
    <x v="0"/>
    <x v="1"/>
  </r>
  <r>
    <n v="1134"/>
    <s v="Divya"/>
    <x v="0"/>
    <n v="39"/>
    <x v="2"/>
    <s v="Marketing Executive"/>
    <n v="56335"/>
    <n v="10"/>
    <s v="10-Jul-2018"/>
    <x v="3"/>
    <x v="0"/>
    <x v="2"/>
  </r>
  <r>
    <n v="1135"/>
    <s v="Neha"/>
    <x v="1"/>
    <n v="39"/>
    <x v="4"/>
    <s v="Recruiter"/>
    <n v="71446"/>
    <n v="9"/>
    <s v="12-Oct-2020"/>
    <x v="2"/>
    <x v="0"/>
    <x v="4"/>
  </r>
  <r>
    <n v="1136"/>
    <s v="Asha"/>
    <x v="1"/>
    <n v="36"/>
    <x v="4"/>
    <s v="Recruiter"/>
    <n v="69421"/>
    <n v="10"/>
    <s v="19-Sep-2024"/>
    <x v="3"/>
    <x v="0"/>
    <x v="5"/>
  </r>
  <r>
    <n v="1137"/>
    <s v="Amit"/>
    <x v="0"/>
    <n v="27"/>
    <x v="0"/>
    <s v="Operations Executive"/>
    <n v="85869"/>
    <n v="4"/>
    <s v="02-Oct-2020"/>
    <x v="0"/>
    <x v="0"/>
    <x v="1"/>
  </r>
  <r>
    <n v="1138"/>
    <s v="Amit"/>
    <x v="1"/>
    <n v="38"/>
    <x v="1"/>
    <s v="Developer"/>
    <n v="87512"/>
    <n v="11"/>
    <s v="07-Sep-2022"/>
    <x v="1"/>
    <x v="0"/>
    <x v="4"/>
  </r>
  <r>
    <n v="1139"/>
    <s v="Manoj"/>
    <x v="0"/>
    <n v="29"/>
    <x v="3"/>
    <s v="Sales Executive"/>
    <n v="101901"/>
    <n v="3"/>
    <s v="26-Jun-2018"/>
    <x v="3"/>
    <x v="0"/>
    <x v="0"/>
  </r>
  <r>
    <n v="1140"/>
    <s v="Kavya"/>
    <x v="1"/>
    <n v="36"/>
    <x v="0"/>
    <s v="Coordinator"/>
    <n v="50499"/>
    <n v="9"/>
    <s v="28-Feb-2022"/>
    <x v="3"/>
    <x v="0"/>
    <x v="5"/>
  </r>
  <r>
    <n v="1141"/>
    <s v="Nisha"/>
    <x v="0"/>
    <n v="32"/>
    <x v="3"/>
    <s v="Sales Manager"/>
    <n v="81737"/>
    <n v="12"/>
    <s v="17-Dec-2020"/>
    <x v="1"/>
    <x v="0"/>
    <x v="2"/>
  </r>
  <r>
    <n v="1142"/>
    <s v="Anjali"/>
    <x v="0"/>
    <n v="40"/>
    <x v="4"/>
    <s v="Recruiter"/>
    <n v="58607"/>
    <n v="13"/>
    <s v="23-Oct-2022"/>
    <x v="0"/>
    <x v="1"/>
    <x v="3"/>
  </r>
  <r>
    <n v="1143"/>
    <s v="Rohit"/>
    <x v="0"/>
    <n v="35"/>
    <x v="4"/>
    <s v="HR Executive"/>
    <n v="47662"/>
    <n v="9"/>
    <s v="07-Nov-2019"/>
    <x v="1"/>
    <x v="0"/>
    <x v="5"/>
  </r>
  <r>
    <n v="1144"/>
    <s v="Pooja"/>
    <x v="1"/>
    <n v="40"/>
    <x v="0"/>
    <s v="Operations Executive"/>
    <n v="39497"/>
    <n v="10"/>
    <s v="28-Oct-2021"/>
    <x v="1"/>
    <x v="0"/>
    <x v="2"/>
  </r>
  <r>
    <n v="1145"/>
    <s v="Nisha"/>
    <x v="0"/>
    <n v="35"/>
    <x v="4"/>
    <s v="Recruiter"/>
    <n v="47683"/>
    <n v="6"/>
    <s v="29-Mar-2022"/>
    <x v="2"/>
    <x v="0"/>
    <x v="3"/>
  </r>
  <r>
    <n v="1146"/>
    <s v="Nisha"/>
    <x v="0"/>
    <n v="38"/>
    <x v="5"/>
    <s v="Accountant"/>
    <n v="34770"/>
    <n v="11"/>
    <s v="04-May-2023"/>
    <x v="1"/>
    <x v="1"/>
    <x v="3"/>
  </r>
  <r>
    <n v="1147"/>
    <s v="Nisha"/>
    <x v="0"/>
    <n v="33"/>
    <x v="1"/>
    <s v="QA Engineer"/>
    <n v="93690"/>
    <n v="6"/>
    <s v="27-Apr-2022"/>
    <x v="2"/>
    <x v="1"/>
    <x v="3"/>
  </r>
  <r>
    <n v="1148"/>
    <s v="Kiran"/>
    <x v="0"/>
    <n v="36"/>
    <x v="4"/>
    <s v="Recruiter"/>
    <n v="64409"/>
    <n v="14"/>
    <s v="07-May-2019"/>
    <x v="3"/>
    <x v="0"/>
    <x v="0"/>
  </r>
  <r>
    <n v="1149"/>
    <s v="Akash"/>
    <x v="0"/>
    <n v="40"/>
    <x v="2"/>
    <s v="SEO Specialist"/>
    <n v="43655"/>
    <n v="11"/>
    <s v="13-Sep-2018"/>
    <x v="2"/>
    <x v="1"/>
    <x v="5"/>
  </r>
  <r>
    <n v="1150"/>
    <s v="Kiran"/>
    <x v="0"/>
    <n v="36"/>
    <x v="0"/>
    <s v="Operations Executive"/>
    <n v="50662"/>
    <n v="14"/>
    <s v="19-Nov-2019"/>
    <x v="2"/>
    <x v="0"/>
    <x v="2"/>
  </r>
  <r>
    <n v="1151"/>
    <s v="Akash"/>
    <x v="1"/>
    <n v="23"/>
    <x v="4"/>
    <s v="HR Executive"/>
    <n v="102336"/>
    <n v="3"/>
    <s v="23-Mar-2023"/>
    <x v="2"/>
    <x v="0"/>
    <x v="5"/>
  </r>
  <r>
    <n v="1152"/>
    <s v="Sneha"/>
    <x v="0"/>
    <n v="26"/>
    <x v="4"/>
    <s v="HR Executive"/>
    <n v="54347"/>
    <n v="6"/>
    <s v="28-Jan-2023"/>
    <x v="1"/>
    <x v="0"/>
    <x v="1"/>
  </r>
  <r>
    <n v="1153"/>
    <s v="Kavya"/>
    <x v="0"/>
    <n v="30"/>
    <x v="2"/>
    <s v="Marketing Executive"/>
    <n v="108952"/>
    <n v="9"/>
    <s v="14-Jan-2025"/>
    <x v="3"/>
    <x v="0"/>
    <x v="3"/>
  </r>
  <r>
    <n v="1154"/>
    <s v="Vijay"/>
    <x v="1"/>
    <n v="32"/>
    <x v="2"/>
    <s v="Marketing Executive"/>
    <n v="114034"/>
    <n v="4"/>
    <s v="12-Mar-2022"/>
    <x v="3"/>
    <x v="0"/>
    <x v="0"/>
  </r>
  <r>
    <n v="1155"/>
    <s v="Meena"/>
    <x v="1"/>
    <n v="39"/>
    <x v="4"/>
    <s v="HR Executive"/>
    <n v="77167"/>
    <n v="14"/>
    <s v="22-Dec-2025"/>
    <x v="0"/>
    <x v="1"/>
    <x v="2"/>
  </r>
  <r>
    <n v="1156"/>
    <s v="Rahul"/>
    <x v="1"/>
    <n v="28"/>
    <x v="0"/>
    <s v="Operations Executive"/>
    <n v="84206"/>
    <n v="1"/>
    <s v="22-Feb-2018"/>
    <x v="1"/>
    <x v="0"/>
    <x v="3"/>
  </r>
  <r>
    <n v="1157"/>
    <s v="Sneha"/>
    <x v="1"/>
    <n v="32"/>
    <x v="1"/>
    <s v="QA Engineer"/>
    <n v="106637"/>
    <n v="11"/>
    <s v="28-Jun-2021"/>
    <x v="0"/>
    <x v="0"/>
    <x v="2"/>
  </r>
  <r>
    <n v="1158"/>
    <s v="Kiran"/>
    <x v="0"/>
    <n v="31"/>
    <x v="5"/>
    <s v="Accountant"/>
    <n v="63081"/>
    <n v="10"/>
    <s v="20-Sep-2018"/>
    <x v="3"/>
    <x v="0"/>
    <x v="0"/>
  </r>
  <r>
    <n v="1159"/>
    <s v="Arjun"/>
    <x v="1"/>
    <n v="23"/>
    <x v="3"/>
    <s v="Sales Executive"/>
    <n v="33895"/>
    <n v="1"/>
    <s v="01-Mar-2022"/>
    <x v="3"/>
    <x v="1"/>
    <x v="0"/>
  </r>
  <r>
    <n v="1160"/>
    <s v="Divya"/>
    <x v="0"/>
    <n v="27"/>
    <x v="4"/>
    <s v="Recruiter"/>
    <n v="65019"/>
    <n v="6"/>
    <s v="03-Feb-2021"/>
    <x v="1"/>
    <x v="0"/>
    <x v="2"/>
  </r>
  <r>
    <n v="1161"/>
    <s v="Ravi"/>
    <x v="1"/>
    <n v="31"/>
    <x v="5"/>
    <s v="Financial Analyst"/>
    <n v="65298"/>
    <n v="9"/>
    <s v="08-Jul-2021"/>
    <x v="2"/>
    <x v="0"/>
    <x v="0"/>
  </r>
  <r>
    <n v="1162"/>
    <s v="Asha"/>
    <x v="0"/>
    <n v="21"/>
    <x v="0"/>
    <s v="Coordinator"/>
    <n v="39104"/>
    <n v="0"/>
    <s v="14-Jun-2019"/>
    <x v="1"/>
    <x v="1"/>
    <x v="4"/>
  </r>
  <r>
    <n v="1163"/>
    <s v="Pooja"/>
    <x v="1"/>
    <n v="25"/>
    <x v="0"/>
    <s v="Coordinator"/>
    <n v="36195"/>
    <n v="4"/>
    <s v="21-Nov-2019"/>
    <x v="0"/>
    <x v="0"/>
    <x v="1"/>
  </r>
  <r>
    <n v="1164"/>
    <s v="Asha"/>
    <x v="0"/>
    <n v="30"/>
    <x v="3"/>
    <s v="Sales Executive"/>
    <n v="95666"/>
    <n v="8"/>
    <s v="15-Aug-2023"/>
    <x v="0"/>
    <x v="0"/>
    <x v="0"/>
  </r>
  <r>
    <n v="1165"/>
    <s v="Amit"/>
    <x v="0"/>
    <n v="30"/>
    <x v="0"/>
    <s v="Operations Executive"/>
    <n v="45308"/>
    <n v="2"/>
    <s v="02-Nov-2022"/>
    <x v="3"/>
    <x v="0"/>
    <x v="1"/>
  </r>
  <r>
    <n v="1166"/>
    <s v="Kiran"/>
    <x v="0"/>
    <n v="27"/>
    <x v="1"/>
    <s v="Data Analyst"/>
    <n v="34106"/>
    <n v="3"/>
    <s v="09-Mar-2024"/>
    <x v="1"/>
    <x v="1"/>
    <x v="1"/>
  </r>
  <r>
    <n v="1167"/>
    <s v="Suresh"/>
    <x v="1"/>
    <n v="22"/>
    <x v="2"/>
    <s v="Marketing Executive"/>
    <n v="95631"/>
    <n v="0"/>
    <s v="22-Dec-2022"/>
    <x v="2"/>
    <x v="0"/>
    <x v="1"/>
  </r>
  <r>
    <n v="1168"/>
    <s v="Amit"/>
    <x v="0"/>
    <n v="32"/>
    <x v="0"/>
    <s v="Coordinator"/>
    <n v="71688"/>
    <n v="6"/>
    <s v="16-Apr-2018"/>
    <x v="1"/>
    <x v="0"/>
    <x v="1"/>
  </r>
  <r>
    <n v="1169"/>
    <s v="Rahul"/>
    <x v="1"/>
    <n v="39"/>
    <x v="4"/>
    <s v="Recruiter"/>
    <n v="64191"/>
    <n v="13"/>
    <s v="27-Dec-2020"/>
    <x v="1"/>
    <x v="0"/>
    <x v="5"/>
  </r>
  <r>
    <n v="1170"/>
    <s v="Vijay"/>
    <x v="0"/>
    <n v="36"/>
    <x v="5"/>
    <s v="Financial Analyst"/>
    <n v="76677"/>
    <n v="15"/>
    <s v="30-Jul-2023"/>
    <x v="1"/>
    <x v="0"/>
    <x v="4"/>
  </r>
  <r>
    <n v="1171"/>
    <s v="Akash"/>
    <x v="1"/>
    <n v="25"/>
    <x v="4"/>
    <s v="HR Executive"/>
    <n v="53762"/>
    <n v="5"/>
    <s v="19-Mar-2025"/>
    <x v="0"/>
    <x v="0"/>
    <x v="0"/>
  </r>
  <r>
    <n v="1172"/>
    <s v="Asha"/>
    <x v="0"/>
    <n v="37"/>
    <x v="4"/>
    <s v="Recruiter"/>
    <n v="103044"/>
    <n v="9"/>
    <s v="30-Aug-2024"/>
    <x v="0"/>
    <x v="0"/>
    <x v="0"/>
  </r>
  <r>
    <n v="1173"/>
    <s v="Rahul"/>
    <x v="0"/>
    <n v="34"/>
    <x v="1"/>
    <s v="Data Analyst"/>
    <n v="103687"/>
    <n v="5"/>
    <s v="18-Apr-2021"/>
    <x v="1"/>
    <x v="1"/>
    <x v="1"/>
  </r>
  <r>
    <n v="1174"/>
    <s v="Pooja"/>
    <x v="1"/>
    <n v="31"/>
    <x v="5"/>
    <s v="Financial Analyst"/>
    <n v="88777"/>
    <n v="4"/>
    <s v="31-Jan-2021"/>
    <x v="1"/>
    <x v="0"/>
    <x v="0"/>
  </r>
  <r>
    <n v="1175"/>
    <s v="Vijay"/>
    <x v="0"/>
    <n v="34"/>
    <x v="0"/>
    <s v="Coordinator"/>
    <n v="41255"/>
    <n v="13"/>
    <s v="08-Dec-2018"/>
    <x v="0"/>
    <x v="0"/>
    <x v="0"/>
  </r>
  <r>
    <n v="1176"/>
    <s v="Sneha"/>
    <x v="0"/>
    <n v="25"/>
    <x v="1"/>
    <s v="Data Analyst"/>
    <n v="39337"/>
    <n v="3"/>
    <s v="13-Apr-2023"/>
    <x v="1"/>
    <x v="0"/>
    <x v="1"/>
  </r>
  <r>
    <n v="1177"/>
    <s v="Nisha"/>
    <x v="0"/>
    <n v="23"/>
    <x v="1"/>
    <s v="Developer"/>
    <n v="65894"/>
    <n v="3"/>
    <s v="30-Sep-2023"/>
    <x v="3"/>
    <x v="0"/>
    <x v="3"/>
  </r>
  <r>
    <n v="1178"/>
    <s v="Pooja"/>
    <x v="0"/>
    <n v="30"/>
    <x v="3"/>
    <s v="Sales Executive"/>
    <n v="73774"/>
    <n v="10"/>
    <s v="01-Jan-2018"/>
    <x v="2"/>
    <x v="0"/>
    <x v="0"/>
  </r>
  <r>
    <n v="1179"/>
    <s v="Asha"/>
    <x v="0"/>
    <n v="31"/>
    <x v="5"/>
    <s v="Financial Analyst"/>
    <n v="41358"/>
    <n v="6"/>
    <s v="12-Mar-2020"/>
    <x v="1"/>
    <x v="0"/>
    <x v="2"/>
  </r>
  <r>
    <n v="1180"/>
    <s v="Rohit"/>
    <x v="1"/>
    <n v="27"/>
    <x v="5"/>
    <s v="Accountant"/>
    <n v="78873"/>
    <n v="7"/>
    <s v="10-Aug-2022"/>
    <x v="1"/>
    <x v="0"/>
    <x v="1"/>
  </r>
  <r>
    <n v="1181"/>
    <s v="Kiran"/>
    <x v="0"/>
    <n v="44"/>
    <x v="4"/>
    <s v="HR Executive"/>
    <n v="82707"/>
    <n v="15"/>
    <s v="08-Mar-2026"/>
    <x v="3"/>
    <x v="0"/>
    <x v="1"/>
  </r>
  <r>
    <n v="1182"/>
    <s v="Divya"/>
    <x v="1"/>
    <n v="31"/>
    <x v="3"/>
    <s v="Sales Manager"/>
    <n v="100934"/>
    <n v="9"/>
    <s v="23-May-2024"/>
    <x v="0"/>
    <x v="0"/>
    <x v="1"/>
  </r>
  <r>
    <n v="1183"/>
    <s v="Nisha"/>
    <x v="0"/>
    <n v="33"/>
    <x v="1"/>
    <s v="Data Analyst"/>
    <n v="108103"/>
    <n v="7"/>
    <s v="01-Aug-2022"/>
    <x v="3"/>
    <x v="0"/>
    <x v="2"/>
  </r>
  <r>
    <n v="1184"/>
    <s v="Sneha"/>
    <x v="1"/>
    <n v="40"/>
    <x v="4"/>
    <s v="HR Executive"/>
    <n v="37707"/>
    <n v="13"/>
    <s v="04-Jul-2019"/>
    <x v="0"/>
    <x v="0"/>
    <x v="3"/>
  </r>
  <r>
    <n v="1185"/>
    <s v="Vijay"/>
    <x v="0"/>
    <n v="24"/>
    <x v="0"/>
    <s v="Coordinator"/>
    <n v="83106"/>
    <n v="2"/>
    <s v="06-Mar-2019"/>
    <x v="0"/>
    <x v="0"/>
    <x v="1"/>
  </r>
  <r>
    <n v="1186"/>
    <s v="Pooja"/>
    <x v="0"/>
    <n v="35"/>
    <x v="0"/>
    <s v="Operations Executive"/>
    <n v="106238"/>
    <n v="8"/>
    <s v="11-Jun-2022"/>
    <x v="2"/>
    <x v="0"/>
    <x v="3"/>
  </r>
  <r>
    <n v="1187"/>
    <s v="Manoj"/>
    <x v="0"/>
    <n v="33"/>
    <x v="3"/>
    <s v="Sales Executive"/>
    <n v="84807"/>
    <n v="10"/>
    <s v="20-Aug-2018"/>
    <x v="0"/>
    <x v="0"/>
    <x v="1"/>
  </r>
  <r>
    <n v="1188"/>
    <s v="Neha"/>
    <x v="1"/>
    <n v="44"/>
    <x v="3"/>
    <s v="Sales Manager"/>
    <n v="70025"/>
    <n v="14"/>
    <s v="20-Jul-2019"/>
    <x v="3"/>
    <x v="0"/>
    <x v="4"/>
  </r>
  <r>
    <n v="1189"/>
    <s v="Rohit"/>
    <x v="0"/>
    <n v="34"/>
    <x v="3"/>
    <s v="Sales Manager"/>
    <n v="39624"/>
    <n v="10"/>
    <s v="30-Dec-2018"/>
    <x v="3"/>
    <x v="0"/>
    <x v="3"/>
  </r>
  <r>
    <n v="1190"/>
    <s v="Kavya"/>
    <x v="1"/>
    <n v="33"/>
    <x v="2"/>
    <s v="SEO Specialist"/>
    <n v="99916"/>
    <n v="6"/>
    <s v="23-May-2023"/>
    <x v="0"/>
    <x v="1"/>
    <x v="1"/>
  </r>
  <r>
    <n v="1191"/>
    <s v="Sneha"/>
    <x v="1"/>
    <n v="32"/>
    <x v="3"/>
    <s v="Sales Manager"/>
    <n v="88082"/>
    <n v="12"/>
    <s v="18-Apr-2021"/>
    <x v="2"/>
    <x v="0"/>
    <x v="0"/>
  </r>
  <r>
    <n v="1192"/>
    <s v="Rahul"/>
    <x v="1"/>
    <n v="34"/>
    <x v="0"/>
    <s v="Operations Executive"/>
    <n v="56199"/>
    <n v="10"/>
    <s v="20-Dec-2021"/>
    <x v="2"/>
    <x v="0"/>
    <x v="4"/>
  </r>
  <r>
    <n v="1193"/>
    <s v="Meena"/>
    <x v="1"/>
    <n v="40"/>
    <x v="0"/>
    <s v="Coordinator"/>
    <n v="99551"/>
    <n v="13"/>
    <s v="13-Sep-2023"/>
    <x v="2"/>
    <x v="0"/>
    <x v="0"/>
  </r>
  <r>
    <n v="1194"/>
    <s v="Divya"/>
    <x v="0"/>
    <n v="32"/>
    <x v="2"/>
    <s v="SEO Specialist"/>
    <n v="95121"/>
    <n v="10"/>
    <s v="22-Nov-2021"/>
    <x v="1"/>
    <x v="1"/>
    <x v="2"/>
  </r>
  <r>
    <n v="1195"/>
    <s v="Manoj"/>
    <x v="0"/>
    <n v="32"/>
    <x v="4"/>
    <s v="HR Executive"/>
    <n v="45982"/>
    <n v="7"/>
    <s v="15-Jul-2022"/>
    <x v="2"/>
    <x v="0"/>
    <x v="2"/>
  </r>
  <r>
    <n v="1196"/>
    <s v="Ravi"/>
    <x v="1"/>
    <n v="25"/>
    <x v="0"/>
    <s v="Operations Executive"/>
    <n v="111335"/>
    <n v="2"/>
    <s v="03-Jun-2024"/>
    <x v="0"/>
    <x v="0"/>
    <x v="1"/>
  </r>
  <r>
    <n v="1197"/>
    <s v="Pooja"/>
    <x v="1"/>
    <n v="40"/>
    <x v="4"/>
    <s v="HR Executive"/>
    <n v="93288"/>
    <n v="13"/>
    <s v="18-Jun-2025"/>
    <x v="2"/>
    <x v="0"/>
    <x v="2"/>
  </r>
  <r>
    <n v="1198"/>
    <s v="Asha"/>
    <x v="1"/>
    <n v="24"/>
    <x v="5"/>
    <s v="Accountant"/>
    <n v="33906"/>
    <n v="2"/>
    <s v="30-Aug-2025"/>
    <x v="3"/>
    <x v="0"/>
    <x v="0"/>
  </r>
  <r>
    <n v="1199"/>
    <s v="Kavya"/>
    <x v="1"/>
    <n v="44"/>
    <x v="1"/>
    <s v="Data Analyst"/>
    <n v="67301"/>
    <n v="14"/>
    <s v="03-Jul-2018"/>
    <x v="3"/>
    <x v="0"/>
    <x v="5"/>
  </r>
  <r>
    <n v="1200"/>
    <s v="Manoj"/>
    <x v="0"/>
    <n v="33"/>
    <x v="4"/>
    <s v="HR Executive"/>
    <n v="47921"/>
    <n v="5"/>
    <s v="13-Jun-2020"/>
    <x v="3"/>
    <x v="1"/>
    <x v="0"/>
  </r>
  <r>
    <n v="1201"/>
    <s v="Rohit"/>
    <x v="1"/>
    <n v="21"/>
    <x v="5"/>
    <s v="Financial Analyst"/>
    <n v="95794"/>
    <n v="1"/>
    <s v="23-Jan-2023"/>
    <x v="2"/>
    <x v="1"/>
    <x v="3"/>
  </r>
  <r>
    <n v="1202"/>
    <s v="Meena"/>
    <x v="0"/>
    <n v="38"/>
    <x v="5"/>
    <s v="Accountant"/>
    <n v="78690"/>
    <n v="14"/>
    <s v="04-May-2022"/>
    <x v="3"/>
    <x v="1"/>
    <x v="4"/>
  </r>
  <r>
    <n v="1203"/>
    <s v="Rohit"/>
    <x v="0"/>
    <n v="28"/>
    <x v="2"/>
    <s v="Marketing Executive"/>
    <n v="68049"/>
    <n v="0"/>
    <s v="01-Jan-2022"/>
    <x v="3"/>
    <x v="0"/>
    <x v="2"/>
  </r>
  <r>
    <n v="1204"/>
    <s v="Neha"/>
    <x v="1"/>
    <n v="26"/>
    <x v="0"/>
    <s v="Coordinator"/>
    <n v="42670"/>
    <n v="4"/>
    <s v="25-Dec-2023"/>
    <x v="2"/>
    <x v="0"/>
    <x v="1"/>
  </r>
  <r>
    <n v="1205"/>
    <s v="Nisha"/>
    <x v="0"/>
    <n v="35"/>
    <x v="5"/>
    <s v="Accountant"/>
    <n v="103028"/>
    <n v="10"/>
    <s v="13-Jan-2021"/>
    <x v="3"/>
    <x v="0"/>
    <x v="5"/>
  </r>
  <r>
    <n v="1206"/>
    <s v="Rahul"/>
    <x v="1"/>
    <n v="34"/>
    <x v="5"/>
    <s v="Accountant"/>
    <n v="75279"/>
    <n v="4"/>
    <s v="24-Jan-2019"/>
    <x v="2"/>
    <x v="0"/>
    <x v="2"/>
  </r>
  <r>
    <n v="1207"/>
    <s v="Manoj"/>
    <x v="1"/>
    <n v="22"/>
    <x v="5"/>
    <s v="Accountant"/>
    <n v="94994"/>
    <n v="0"/>
    <s v="06-Dec-2023"/>
    <x v="1"/>
    <x v="0"/>
    <x v="3"/>
  </r>
  <r>
    <n v="1208"/>
    <s v="Rahul"/>
    <x v="0"/>
    <n v="25"/>
    <x v="4"/>
    <s v="Recruiter"/>
    <n v="73868"/>
    <n v="3"/>
    <s v="03-Jul-2020"/>
    <x v="2"/>
    <x v="0"/>
    <x v="2"/>
  </r>
  <r>
    <n v="1209"/>
    <s v="Rahul"/>
    <x v="1"/>
    <n v="37"/>
    <x v="4"/>
    <s v="HR Executive"/>
    <n v="117442"/>
    <n v="13"/>
    <s v="03-Oct-2021"/>
    <x v="1"/>
    <x v="1"/>
    <x v="1"/>
  </r>
  <r>
    <n v="1210"/>
    <s v="Nisha"/>
    <x v="1"/>
    <n v="31"/>
    <x v="0"/>
    <s v="Operations Executive"/>
    <n v="88695"/>
    <n v="7"/>
    <s v="30-Dec-2018"/>
    <x v="3"/>
    <x v="0"/>
    <x v="3"/>
  </r>
  <r>
    <n v="1211"/>
    <s v="Rahul"/>
    <x v="0"/>
    <n v="31"/>
    <x v="2"/>
    <s v="Marketing Executive"/>
    <n v="45891"/>
    <n v="5"/>
    <s v="04-Nov-2022"/>
    <x v="1"/>
    <x v="1"/>
    <x v="1"/>
  </r>
  <r>
    <n v="1212"/>
    <s v="Rohit"/>
    <x v="0"/>
    <n v="35"/>
    <x v="5"/>
    <s v="Accountant"/>
    <n v="86615"/>
    <n v="5"/>
    <s v="28-Apr-2025"/>
    <x v="1"/>
    <x v="0"/>
    <x v="2"/>
  </r>
  <r>
    <n v="1213"/>
    <s v="Pooja"/>
    <x v="0"/>
    <n v="41"/>
    <x v="5"/>
    <s v="Financial Analyst"/>
    <n v="58639"/>
    <n v="15"/>
    <s v="10-Jul-2018"/>
    <x v="3"/>
    <x v="0"/>
    <x v="4"/>
  </r>
  <r>
    <n v="1214"/>
    <s v="Amit"/>
    <x v="1"/>
    <n v="31"/>
    <x v="3"/>
    <s v="Sales Executive"/>
    <n v="83441"/>
    <n v="11"/>
    <s v="09-Mar-2021"/>
    <x v="1"/>
    <x v="0"/>
    <x v="2"/>
  </r>
  <r>
    <n v="1215"/>
    <s v="Meena"/>
    <x v="0"/>
    <n v="38"/>
    <x v="3"/>
    <s v="Sales Manager"/>
    <n v="30300"/>
    <n v="14"/>
    <s v="03-Dec-2020"/>
    <x v="2"/>
    <x v="0"/>
    <x v="1"/>
  </r>
  <r>
    <n v="1216"/>
    <s v="Akash"/>
    <x v="1"/>
    <n v="34"/>
    <x v="5"/>
    <s v="Accountant"/>
    <n v="41544"/>
    <n v="5"/>
    <s v="30-Sep-2020"/>
    <x v="0"/>
    <x v="0"/>
    <x v="2"/>
  </r>
  <r>
    <n v="1217"/>
    <s v="Pooja"/>
    <x v="1"/>
    <n v="27"/>
    <x v="4"/>
    <s v="HR Executive"/>
    <n v="56036"/>
    <n v="5"/>
    <s v="03-Jun-2024"/>
    <x v="1"/>
    <x v="0"/>
    <x v="5"/>
  </r>
  <r>
    <n v="1218"/>
    <s v="Manoj"/>
    <x v="0"/>
    <n v="28"/>
    <x v="1"/>
    <s v="Data Analyst"/>
    <n v="114977"/>
    <n v="7"/>
    <s v="12-May-2018"/>
    <x v="1"/>
    <x v="0"/>
    <x v="5"/>
  </r>
  <r>
    <n v="1219"/>
    <s v="Rahul"/>
    <x v="0"/>
    <n v="30"/>
    <x v="4"/>
    <s v="Recruiter"/>
    <n v="71372"/>
    <n v="3"/>
    <s v="23-May-2023"/>
    <x v="1"/>
    <x v="1"/>
    <x v="3"/>
  </r>
  <r>
    <n v="1220"/>
    <s v="Priya"/>
    <x v="1"/>
    <n v="36"/>
    <x v="5"/>
    <s v="Accountant"/>
    <n v="90062"/>
    <n v="13"/>
    <s v="21-Jan-2025"/>
    <x v="3"/>
    <x v="0"/>
    <x v="2"/>
  </r>
  <r>
    <n v="1221"/>
    <s v="Meena"/>
    <x v="1"/>
    <n v="39"/>
    <x v="0"/>
    <s v="Operations Executive"/>
    <n v="35569"/>
    <n v="15"/>
    <s v="23-May-2019"/>
    <x v="2"/>
    <x v="0"/>
    <x v="0"/>
  </r>
  <r>
    <n v="1222"/>
    <s v="Meena"/>
    <x v="1"/>
    <n v="38"/>
    <x v="2"/>
    <s v="Marketing Executive"/>
    <n v="80579"/>
    <n v="14"/>
    <s v="29-May-2020"/>
    <x v="1"/>
    <x v="1"/>
    <x v="0"/>
  </r>
  <r>
    <n v="1223"/>
    <s v="Akash"/>
    <x v="1"/>
    <n v="34"/>
    <x v="3"/>
    <s v="Sales Manager"/>
    <n v="94616"/>
    <n v="8"/>
    <s v="27-Apr-2023"/>
    <x v="1"/>
    <x v="0"/>
    <x v="2"/>
  </r>
  <r>
    <n v="1224"/>
    <s v="Nisha"/>
    <x v="0"/>
    <n v="29"/>
    <x v="3"/>
    <s v="Sales Executive"/>
    <n v="84850"/>
    <n v="4"/>
    <s v="29-Jan-2022"/>
    <x v="0"/>
    <x v="1"/>
    <x v="4"/>
  </r>
  <r>
    <n v="1225"/>
    <s v="Neha"/>
    <x v="1"/>
    <n v="23"/>
    <x v="3"/>
    <s v="Sales Executive"/>
    <n v="85333"/>
    <n v="3"/>
    <s v="18-Nov-2024"/>
    <x v="3"/>
    <x v="0"/>
    <x v="4"/>
  </r>
  <r>
    <n v="1226"/>
    <s v="Pooja"/>
    <x v="1"/>
    <n v="35"/>
    <x v="0"/>
    <s v="Coordinator"/>
    <n v="108542"/>
    <n v="13"/>
    <s v="20-Jul-2022"/>
    <x v="1"/>
    <x v="1"/>
    <x v="3"/>
  </r>
  <r>
    <n v="1227"/>
    <s v="Rahul"/>
    <x v="0"/>
    <n v="34"/>
    <x v="1"/>
    <s v="Developer"/>
    <n v="55901"/>
    <n v="10"/>
    <s v="03-Jan-2020"/>
    <x v="3"/>
    <x v="0"/>
    <x v="1"/>
  </r>
  <r>
    <n v="1228"/>
    <s v="Arjun"/>
    <x v="0"/>
    <n v="34"/>
    <x v="3"/>
    <s v="Sales Manager"/>
    <n v="82633"/>
    <n v="5"/>
    <s v="17-Jan-2023"/>
    <x v="0"/>
    <x v="0"/>
    <x v="0"/>
  </r>
  <r>
    <n v="1229"/>
    <s v="Neha"/>
    <x v="0"/>
    <n v="30"/>
    <x v="0"/>
    <s v="Operations Executive"/>
    <n v="88770"/>
    <n v="8"/>
    <s v="10-Feb-2020"/>
    <x v="1"/>
    <x v="0"/>
    <x v="3"/>
  </r>
  <r>
    <n v="1230"/>
    <s v="Arjun"/>
    <x v="0"/>
    <n v="41"/>
    <x v="4"/>
    <s v="HR Executive"/>
    <n v="55320"/>
    <n v="13"/>
    <s v="16-Mar-2024"/>
    <x v="2"/>
    <x v="1"/>
    <x v="4"/>
  </r>
  <r>
    <n v="1231"/>
    <s v="Arjun"/>
    <x v="0"/>
    <n v="26"/>
    <x v="0"/>
    <s v="Coordinator"/>
    <n v="40567"/>
    <n v="3"/>
    <s v="15-Dec-2020"/>
    <x v="3"/>
    <x v="0"/>
    <x v="2"/>
  </r>
  <r>
    <n v="1232"/>
    <s v="Ravi"/>
    <x v="1"/>
    <n v="23"/>
    <x v="5"/>
    <s v="Accountant"/>
    <n v="101075"/>
    <n v="3"/>
    <s v="04-Jan-2019"/>
    <x v="0"/>
    <x v="0"/>
    <x v="5"/>
  </r>
  <r>
    <n v="1233"/>
    <s v="Suresh"/>
    <x v="0"/>
    <n v="26"/>
    <x v="0"/>
    <s v="Coordinator"/>
    <n v="104325"/>
    <n v="1"/>
    <s v="22-Dec-2019"/>
    <x v="2"/>
    <x v="0"/>
    <x v="4"/>
  </r>
  <r>
    <n v="1234"/>
    <s v="Manoj"/>
    <x v="0"/>
    <n v="33"/>
    <x v="0"/>
    <s v="Operations Executive"/>
    <n v="105191"/>
    <n v="11"/>
    <s v="27-Oct-2020"/>
    <x v="2"/>
    <x v="0"/>
    <x v="5"/>
  </r>
  <r>
    <n v="1235"/>
    <s v="Asha"/>
    <x v="1"/>
    <n v="39"/>
    <x v="2"/>
    <s v="Marketing Executive"/>
    <n v="30096"/>
    <n v="13"/>
    <s v="01-Jun-2022"/>
    <x v="1"/>
    <x v="1"/>
    <x v="0"/>
  </r>
  <r>
    <n v="1236"/>
    <s v="Amit"/>
    <x v="0"/>
    <n v="41"/>
    <x v="4"/>
    <s v="Recruiter"/>
    <n v="36479"/>
    <n v="12"/>
    <s v="13-Dec-2021"/>
    <x v="3"/>
    <x v="0"/>
    <x v="3"/>
  </r>
  <r>
    <n v="1237"/>
    <s v="Divya"/>
    <x v="1"/>
    <n v="27"/>
    <x v="3"/>
    <s v="Sales Executive"/>
    <n v="53742"/>
    <n v="7"/>
    <s v="09-Sep-2021"/>
    <x v="1"/>
    <x v="0"/>
    <x v="4"/>
  </r>
  <r>
    <n v="1238"/>
    <s v="Pooja"/>
    <x v="1"/>
    <n v="28"/>
    <x v="1"/>
    <s v="Developer"/>
    <n v="43782"/>
    <n v="5"/>
    <s v="18-Feb-2020"/>
    <x v="0"/>
    <x v="0"/>
    <x v="0"/>
  </r>
  <r>
    <n v="1239"/>
    <s v="Manoj"/>
    <x v="1"/>
    <n v="35"/>
    <x v="1"/>
    <s v="Data Analyst"/>
    <n v="96216"/>
    <n v="5"/>
    <s v="06-Aug-2021"/>
    <x v="0"/>
    <x v="0"/>
    <x v="4"/>
  </r>
  <r>
    <n v="1240"/>
    <s v="Pooja"/>
    <x v="1"/>
    <n v="36"/>
    <x v="5"/>
    <s v="Financial Analyst"/>
    <n v="71680"/>
    <n v="15"/>
    <s v="07-Oct-2023"/>
    <x v="3"/>
    <x v="0"/>
    <x v="5"/>
  </r>
  <r>
    <n v="1241"/>
    <s v="Nisha"/>
    <x v="0"/>
    <n v="28"/>
    <x v="5"/>
    <s v="Accountant"/>
    <n v="87090"/>
    <n v="7"/>
    <s v="28-Jul-2025"/>
    <x v="1"/>
    <x v="0"/>
    <x v="4"/>
  </r>
  <r>
    <n v="1242"/>
    <s v="Ravi"/>
    <x v="1"/>
    <n v="35"/>
    <x v="4"/>
    <s v="Recruiter"/>
    <n v="97232"/>
    <n v="14"/>
    <s v="08-Mar-2025"/>
    <x v="3"/>
    <x v="0"/>
    <x v="1"/>
  </r>
  <r>
    <n v="1243"/>
    <s v="Neha"/>
    <x v="0"/>
    <n v="33"/>
    <x v="4"/>
    <s v="Recruiter"/>
    <n v="113452"/>
    <n v="5"/>
    <s v="26-Sep-2025"/>
    <x v="3"/>
    <x v="0"/>
    <x v="4"/>
  </r>
  <r>
    <n v="1244"/>
    <s v="Pooja"/>
    <x v="1"/>
    <n v="39"/>
    <x v="0"/>
    <s v="Operations Executive"/>
    <n v="104352"/>
    <n v="14"/>
    <s v="10-Aug-2024"/>
    <x v="0"/>
    <x v="1"/>
    <x v="0"/>
  </r>
  <r>
    <n v="1245"/>
    <s v="Sneha"/>
    <x v="0"/>
    <n v="21"/>
    <x v="5"/>
    <s v="Accountant"/>
    <n v="118122"/>
    <n v="0"/>
    <s v="31-Oct-2022"/>
    <x v="1"/>
    <x v="0"/>
    <x v="3"/>
  </r>
  <r>
    <n v="1246"/>
    <s v="Kavya"/>
    <x v="0"/>
    <n v="22"/>
    <x v="0"/>
    <s v="Operations Executive"/>
    <n v="76620"/>
    <n v="0"/>
    <s v="11-May-2023"/>
    <x v="1"/>
    <x v="0"/>
    <x v="5"/>
  </r>
  <r>
    <n v="1247"/>
    <s v="Meena"/>
    <x v="1"/>
    <n v="30"/>
    <x v="4"/>
    <s v="Recruiter"/>
    <n v="50097"/>
    <n v="4"/>
    <s v="29-Dec-2018"/>
    <x v="0"/>
    <x v="1"/>
    <x v="0"/>
  </r>
  <r>
    <n v="1248"/>
    <s v="Pooja"/>
    <x v="1"/>
    <n v="30"/>
    <x v="1"/>
    <s v="Data Analyst"/>
    <n v="114776"/>
    <n v="8"/>
    <s v="19-Dec-2024"/>
    <x v="0"/>
    <x v="0"/>
    <x v="5"/>
  </r>
  <r>
    <n v="1249"/>
    <s v="Ravi"/>
    <x v="0"/>
    <n v="35"/>
    <x v="1"/>
    <s v="Data Analyst"/>
    <n v="75073"/>
    <n v="13"/>
    <s v="19-Dec-2018"/>
    <x v="0"/>
    <x v="0"/>
    <x v="3"/>
  </r>
  <r>
    <n v="1250"/>
    <s v="Kavya"/>
    <x v="0"/>
    <n v="29"/>
    <x v="3"/>
    <s v="Sales Manager"/>
    <n v="102997"/>
    <n v="5"/>
    <s v="19-Jan-2023"/>
    <x v="3"/>
    <x v="0"/>
    <x v="0"/>
  </r>
  <r>
    <n v="1251"/>
    <s v="Manoj"/>
    <x v="1"/>
    <n v="35"/>
    <x v="5"/>
    <s v="Accountant"/>
    <n v="52029"/>
    <n v="6"/>
    <s v="03-May-2022"/>
    <x v="1"/>
    <x v="0"/>
    <x v="4"/>
  </r>
  <r>
    <n v="1252"/>
    <s v="Pooja"/>
    <x v="1"/>
    <n v="37"/>
    <x v="4"/>
    <s v="HR Executive"/>
    <n v="34295"/>
    <n v="11"/>
    <s v="14-Jul-2025"/>
    <x v="0"/>
    <x v="0"/>
    <x v="4"/>
  </r>
  <r>
    <n v="1253"/>
    <s v="Sneha"/>
    <x v="0"/>
    <n v="42"/>
    <x v="2"/>
    <s v="Marketing Executive"/>
    <n v="34107"/>
    <n v="15"/>
    <s v="26-Oct-2020"/>
    <x v="0"/>
    <x v="0"/>
    <x v="1"/>
  </r>
  <r>
    <n v="1254"/>
    <s v="Vijay"/>
    <x v="0"/>
    <n v="25"/>
    <x v="0"/>
    <s v="Coordinator"/>
    <n v="82206"/>
    <n v="2"/>
    <s v="03-Oct-2019"/>
    <x v="0"/>
    <x v="0"/>
    <x v="2"/>
  </r>
  <r>
    <n v="1255"/>
    <s v="Manoj"/>
    <x v="1"/>
    <n v="35"/>
    <x v="2"/>
    <s v="Marketing Executive"/>
    <n v="40954"/>
    <n v="8"/>
    <s v="24-Oct-2022"/>
    <x v="0"/>
    <x v="1"/>
    <x v="4"/>
  </r>
  <r>
    <n v="1256"/>
    <s v="Arjun"/>
    <x v="1"/>
    <n v="32"/>
    <x v="0"/>
    <s v="Coordinator"/>
    <n v="86497"/>
    <n v="2"/>
    <s v="07-Aug-2023"/>
    <x v="0"/>
    <x v="0"/>
    <x v="3"/>
  </r>
  <r>
    <n v="1257"/>
    <s v="Rahul"/>
    <x v="1"/>
    <n v="35"/>
    <x v="2"/>
    <s v="SEO Specialist"/>
    <n v="105965"/>
    <n v="15"/>
    <s v="22-Jun-2018"/>
    <x v="2"/>
    <x v="0"/>
    <x v="0"/>
  </r>
  <r>
    <n v="1258"/>
    <s v="Kiran"/>
    <x v="0"/>
    <n v="37"/>
    <x v="5"/>
    <s v="Financial Analyst"/>
    <n v="111729"/>
    <n v="9"/>
    <s v="08-Jan-2018"/>
    <x v="2"/>
    <x v="0"/>
    <x v="1"/>
  </r>
  <r>
    <n v="1259"/>
    <s v="Pooja"/>
    <x v="1"/>
    <n v="34"/>
    <x v="0"/>
    <s v="Coordinator"/>
    <n v="88526"/>
    <n v="10"/>
    <s v="01-Nov-2024"/>
    <x v="0"/>
    <x v="0"/>
    <x v="0"/>
  </r>
  <r>
    <n v="1260"/>
    <s v="Priya"/>
    <x v="0"/>
    <n v="33"/>
    <x v="4"/>
    <s v="Recruiter"/>
    <n v="58910"/>
    <n v="4"/>
    <s v="25-Oct-2018"/>
    <x v="0"/>
    <x v="0"/>
    <x v="1"/>
  </r>
  <r>
    <n v="1261"/>
    <s v="Sneha"/>
    <x v="1"/>
    <n v="24"/>
    <x v="5"/>
    <s v="Financial Analyst"/>
    <n v="38902"/>
    <n v="0"/>
    <s v="01-Feb-2021"/>
    <x v="2"/>
    <x v="1"/>
    <x v="2"/>
  </r>
  <r>
    <n v="1262"/>
    <s v="Sneha"/>
    <x v="0"/>
    <n v="31"/>
    <x v="3"/>
    <s v="Sales Manager"/>
    <n v="42990"/>
    <n v="9"/>
    <s v="24-Feb-2026"/>
    <x v="0"/>
    <x v="0"/>
    <x v="5"/>
  </r>
  <r>
    <n v="1263"/>
    <s v="Priya"/>
    <x v="1"/>
    <n v="31"/>
    <x v="5"/>
    <s v="Financial Analyst"/>
    <n v="61313"/>
    <n v="10"/>
    <s v="31-May-2019"/>
    <x v="2"/>
    <x v="1"/>
    <x v="1"/>
  </r>
  <r>
    <n v="1264"/>
    <s v="Amit"/>
    <x v="1"/>
    <n v="26"/>
    <x v="5"/>
    <s v="Financial Analyst"/>
    <n v="78108"/>
    <n v="0"/>
    <s v="13-Oct-2021"/>
    <x v="0"/>
    <x v="1"/>
    <x v="5"/>
  </r>
  <r>
    <n v="1265"/>
    <s v="Ravi"/>
    <x v="0"/>
    <n v="26"/>
    <x v="3"/>
    <s v="Sales Manager"/>
    <n v="106406"/>
    <n v="0"/>
    <s v="21-Oct-2023"/>
    <x v="0"/>
    <x v="0"/>
    <x v="3"/>
  </r>
  <r>
    <n v="1266"/>
    <s v="Sneha"/>
    <x v="0"/>
    <n v="39"/>
    <x v="3"/>
    <s v="Sales Manager"/>
    <n v="111791"/>
    <n v="12"/>
    <s v="17-Jun-2023"/>
    <x v="1"/>
    <x v="0"/>
    <x v="1"/>
  </r>
  <r>
    <n v="1267"/>
    <s v="Ravi"/>
    <x v="1"/>
    <n v="36"/>
    <x v="3"/>
    <s v="Sales Manager"/>
    <n v="99174"/>
    <n v="11"/>
    <s v="10-Oct-2020"/>
    <x v="1"/>
    <x v="0"/>
    <x v="2"/>
  </r>
  <r>
    <n v="1268"/>
    <s v="Manoj"/>
    <x v="1"/>
    <n v="30"/>
    <x v="0"/>
    <s v="Operations Executive"/>
    <n v="37950"/>
    <n v="7"/>
    <s v="23-Nov-2020"/>
    <x v="3"/>
    <x v="1"/>
    <x v="4"/>
  </r>
  <r>
    <n v="1269"/>
    <s v="Sneha"/>
    <x v="0"/>
    <n v="40"/>
    <x v="1"/>
    <s v="Developer"/>
    <n v="82416"/>
    <n v="10"/>
    <s v="11-Jan-2026"/>
    <x v="1"/>
    <x v="0"/>
    <x v="4"/>
  </r>
  <r>
    <n v="1270"/>
    <s v="Rahul"/>
    <x v="1"/>
    <n v="26"/>
    <x v="2"/>
    <s v="Marketing Executive"/>
    <n v="61479"/>
    <n v="3"/>
    <s v="18-Sep-2020"/>
    <x v="3"/>
    <x v="0"/>
    <x v="5"/>
  </r>
  <r>
    <n v="1271"/>
    <s v="Suresh"/>
    <x v="1"/>
    <n v="31"/>
    <x v="3"/>
    <s v="Sales Executive"/>
    <n v="63896"/>
    <n v="11"/>
    <s v="06-May-2020"/>
    <x v="0"/>
    <x v="0"/>
    <x v="5"/>
  </r>
  <r>
    <n v="1272"/>
    <s v="Meena"/>
    <x v="1"/>
    <n v="37"/>
    <x v="4"/>
    <s v="Recruiter"/>
    <n v="83633"/>
    <n v="7"/>
    <s v="16-Jul-2018"/>
    <x v="2"/>
    <x v="0"/>
    <x v="0"/>
  </r>
  <r>
    <n v="1273"/>
    <s v="Kiran"/>
    <x v="1"/>
    <n v="30"/>
    <x v="2"/>
    <s v="Marketing Executive"/>
    <n v="74687"/>
    <n v="2"/>
    <s v="07-Sep-2018"/>
    <x v="3"/>
    <x v="0"/>
    <x v="0"/>
  </r>
  <r>
    <n v="1274"/>
    <s v="Rohit"/>
    <x v="1"/>
    <n v="24"/>
    <x v="2"/>
    <s v="SEO Specialist"/>
    <n v="119960"/>
    <n v="2"/>
    <s v="27-Apr-2024"/>
    <x v="0"/>
    <x v="0"/>
    <x v="4"/>
  </r>
  <r>
    <n v="1275"/>
    <s v="Neha"/>
    <x v="1"/>
    <n v="37"/>
    <x v="2"/>
    <s v="SEO Specialist"/>
    <n v="62377"/>
    <n v="10"/>
    <s v="10-Oct-2023"/>
    <x v="2"/>
    <x v="0"/>
    <x v="3"/>
  </r>
  <r>
    <n v="1276"/>
    <s v="Meena"/>
    <x v="0"/>
    <n v="39"/>
    <x v="4"/>
    <s v="HR Executive"/>
    <n v="76213"/>
    <n v="12"/>
    <s v="05-Jun-2025"/>
    <x v="3"/>
    <x v="0"/>
    <x v="1"/>
  </r>
  <r>
    <n v="1277"/>
    <s v="Nisha"/>
    <x v="1"/>
    <n v="35"/>
    <x v="1"/>
    <s v="Developer"/>
    <n v="33124"/>
    <n v="15"/>
    <s v="19-Mar-2021"/>
    <x v="3"/>
    <x v="0"/>
    <x v="0"/>
  </r>
  <r>
    <n v="1278"/>
    <s v="Meena"/>
    <x v="1"/>
    <n v="32"/>
    <x v="0"/>
    <s v="Coordinator"/>
    <n v="119265"/>
    <n v="11"/>
    <s v="29-May-2024"/>
    <x v="3"/>
    <x v="0"/>
    <x v="2"/>
  </r>
  <r>
    <n v="1279"/>
    <s v="Kavya"/>
    <x v="0"/>
    <n v="24"/>
    <x v="4"/>
    <s v="HR Executive"/>
    <n v="104142"/>
    <n v="1"/>
    <s v="16-Aug-2024"/>
    <x v="1"/>
    <x v="1"/>
    <x v="5"/>
  </r>
  <r>
    <n v="1280"/>
    <s v="Priya"/>
    <x v="1"/>
    <n v="25"/>
    <x v="0"/>
    <s v="Operations Executive"/>
    <n v="74039"/>
    <n v="3"/>
    <s v="24-Jul-2025"/>
    <x v="2"/>
    <x v="0"/>
    <x v="5"/>
  </r>
  <r>
    <n v="1281"/>
    <s v="Akash"/>
    <x v="1"/>
    <n v="36"/>
    <x v="3"/>
    <s v="Sales Manager"/>
    <n v="89571"/>
    <n v="8"/>
    <s v="19-Mar-2021"/>
    <x v="1"/>
    <x v="0"/>
    <x v="4"/>
  </r>
  <r>
    <n v="1282"/>
    <s v="Pooja"/>
    <x v="0"/>
    <n v="32"/>
    <x v="2"/>
    <s v="Marketing Executive"/>
    <n v="42394"/>
    <n v="4"/>
    <s v="11-Feb-2020"/>
    <x v="0"/>
    <x v="1"/>
    <x v="2"/>
  </r>
  <r>
    <n v="1283"/>
    <s v="Suresh"/>
    <x v="1"/>
    <n v="36"/>
    <x v="5"/>
    <s v="Financial Analyst"/>
    <n v="75681"/>
    <n v="13"/>
    <s v="26-Apr-2018"/>
    <x v="1"/>
    <x v="0"/>
    <x v="2"/>
  </r>
  <r>
    <n v="1284"/>
    <s v="Arjun"/>
    <x v="1"/>
    <n v="35"/>
    <x v="5"/>
    <s v="Accountant"/>
    <n v="55289"/>
    <n v="11"/>
    <s v="28-Feb-2025"/>
    <x v="1"/>
    <x v="0"/>
    <x v="0"/>
  </r>
  <r>
    <n v="1285"/>
    <s v="Kiran"/>
    <x v="0"/>
    <n v="22"/>
    <x v="4"/>
    <s v="Recruiter"/>
    <n v="119140"/>
    <n v="1"/>
    <s v="16-Mar-2022"/>
    <x v="2"/>
    <x v="0"/>
    <x v="5"/>
  </r>
  <r>
    <n v="1286"/>
    <s v="Kavya"/>
    <x v="0"/>
    <n v="25"/>
    <x v="1"/>
    <s v="Developer"/>
    <n v="113352"/>
    <n v="4"/>
    <s v="20-Feb-2020"/>
    <x v="0"/>
    <x v="0"/>
    <x v="5"/>
  </r>
  <r>
    <n v="1287"/>
    <s v="Kavya"/>
    <x v="1"/>
    <n v="42"/>
    <x v="2"/>
    <s v="Marketing Executive"/>
    <n v="119393"/>
    <n v="13"/>
    <s v="07-Feb-2025"/>
    <x v="0"/>
    <x v="1"/>
    <x v="4"/>
  </r>
  <r>
    <n v="1288"/>
    <s v="Rohit"/>
    <x v="0"/>
    <n v="35"/>
    <x v="1"/>
    <s v="Data Analyst"/>
    <n v="82460"/>
    <n v="15"/>
    <s v="30-Oct-2020"/>
    <x v="1"/>
    <x v="0"/>
    <x v="5"/>
  </r>
  <r>
    <n v="1289"/>
    <s v="Sneha"/>
    <x v="0"/>
    <n v="30"/>
    <x v="5"/>
    <s v="Financial Analyst"/>
    <n v="59486"/>
    <n v="0"/>
    <s v="26-Jun-2022"/>
    <x v="2"/>
    <x v="0"/>
    <x v="4"/>
  </r>
  <r>
    <n v="1290"/>
    <s v="Sneha"/>
    <x v="0"/>
    <n v="44"/>
    <x v="1"/>
    <s v="Developer"/>
    <n v="83927"/>
    <n v="15"/>
    <s v="25-Apr-2018"/>
    <x v="0"/>
    <x v="0"/>
    <x v="4"/>
  </r>
  <r>
    <n v="1291"/>
    <s v="Sneha"/>
    <x v="1"/>
    <n v="36"/>
    <x v="3"/>
    <s v="Sales Executive"/>
    <n v="108774"/>
    <n v="12"/>
    <s v="16-Feb-2023"/>
    <x v="1"/>
    <x v="0"/>
    <x v="0"/>
  </r>
  <r>
    <n v="1292"/>
    <s v="Kiran"/>
    <x v="1"/>
    <n v="42"/>
    <x v="0"/>
    <s v="Coordinator"/>
    <n v="116020"/>
    <n v="12"/>
    <s v="14-Oct-2024"/>
    <x v="0"/>
    <x v="0"/>
    <x v="0"/>
  </r>
  <r>
    <n v="1293"/>
    <s v="Vijay"/>
    <x v="0"/>
    <n v="28"/>
    <x v="4"/>
    <s v="HR Executive"/>
    <n v="74878"/>
    <n v="0"/>
    <s v="04-Dec-2021"/>
    <x v="1"/>
    <x v="1"/>
    <x v="2"/>
  </r>
  <r>
    <n v="1294"/>
    <s v="Pooja"/>
    <x v="0"/>
    <n v="29"/>
    <x v="3"/>
    <s v="Sales Manager"/>
    <n v="57374"/>
    <n v="4"/>
    <s v="20-Sep-2021"/>
    <x v="2"/>
    <x v="0"/>
    <x v="3"/>
  </r>
  <r>
    <n v="1295"/>
    <s v="Vijay"/>
    <x v="1"/>
    <n v="32"/>
    <x v="4"/>
    <s v="HR Executive"/>
    <n v="110735"/>
    <n v="2"/>
    <s v="25-May-2019"/>
    <x v="1"/>
    <x v="1"/>
    <x v="3"/>
  </r>
  <r>
    <n v="1296"/>
    <s v="Manoj"/>
    <x v="0"/>
    <n v="29"/>
    <x v="4"/>
    <s v="Recruiter"/>
    <n v="54523"/>
    <n v="9"/>
    <s v="11-Jul-2024"/>
    <x v="0"/>
    <x v="0"/>
    <x v="0"/>
  </r>
  <r>
    <n v="1297"/>
    <s v="Amit"/>
    <x v="0"/>
    <n v="32"/>
    <x v="5"/>
    <s v="Financial Analyst"/>
    <n v="84947"/>
    <n v="9"/>
    <s v="05-Oct-2022"/>
    <x v="2"/>
    <x v="1"/>
    <x v="0"/>
  </r>
  <r>
    <n v="1298"/>
    <s v="Pooja"/>
    <x v="1"/>
    <n v="29"/>
    <x v="5"/>
    <s v="Financial Analyst"/>
    <n v="87300"/>
    <n v="6"/>
    <s v="27-Jan-2018"/>
    <x v="2"/>
    <x v="0"/>
    <x v="3"/>
  </r>
  <r>
    <n v="1299"/>
    <s v="Rohit"/>
    <x v="1"/>
    <n v="29"/>
    <x v="2"/>
    <s v="SEO Specialist"/>
    <n v="42427"/>
    <n v="9"/>
    <s v="08-Dec-2020"/>
    <x v="3"/>
    <x v="0"/>
    <x v="2"/>
  </r>
  <r>
    <n v="1300"/>
    <s v="Kavya"/>
    <x v="1"/>
    <n v="25"/>
    <x v="2"/>
    <s v="SEO Specialist"/>
    <n v="83639"/>
    <n v="0"/>
    <s v="17-Dec-2025"/>
    <x v="1"/>
    <x v="1"/>
    <x v="4"/>
  </r>
  <r>
    <m/>
    <m/>
    <x v="2"/>
    <m/>
    <x v="6"/>
    <m/>
    <m/>
    <m/>
    <m/>
    <x v="4"/>
    <x v="2"/>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237866-C96C-459E-B3BB-2DBCDE2D2C4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3:B71" firstHeaderRow="1" firstDataRow="1" firstDataCol="1"/>
  <pivotFields count="12">
    <pivotField dataField="1" showAll="0"/>
    <pivotField showAll="0"/>
    <pivotField showAll="0">
      <items count="4">
        <item x="0"/>
        <item x="1"/>
        <item x="2"/>
        <item t="default"/>
      </items>
    </pivotField>
    <pivotField showAll="0"/>
    <pivotField showAll="0">
      <items count="8">
        <item x="5"/>
        <item x="4"/>
        <item x="1"/>
        <item x="2"/>
        <item x="0"/>
        <item x="3"/>
        <item x="6"/>
        <item t="default"/>
      </items>
    </pivotField>
    <pivotField showAll="0"/>
    <pivotField showAll="0"/>
    <pivotField showAll="0"/>
    <pivotField showAll="0"/>
    <pivotField showAll="0">
      <items count="6">
        <item x="1"/>
        <item x="3"/>
        <item x="0"/>
        <item x="2"/>
        <item x="4"/>
        <item t="default"/>
      </items>
    </pivotField>
    <pivotField showAll="0">
      <items count="4">
        <item x="0"/>
        <item x="1"/>
        <item x="2"/>
        <item t="default"/>
      </items>
    </pivotField>
    <pivotField axis="axisRow" showAll="0">
      <items count="8">
        <item x="5"/>
        <item x="4"/>
        <item x="2"/>
        <item x="1"/>
        <item x="3"/>
        <item x="0"/>
        <item x="6"/>
        <item t="default"/>
      </items>
    </pivotField>
  </pivotFields>
  <rowFields count="1">
    <field x="11"/>
  </rowFields>
  <rowItems count="8">
    <i>
      <x/>
    </i>
    <i>
      <x v="1"/>
    </i>
    <i>
      <x v="2"/>
    </i>
    <i>
      <x v="3"/>
    </i>
    <i>
      <x v="4"/>
    </i>
    <i>
      <x v="5"/>
    </i>
    <i>
      <x v="6"/>
    </i>
    <i t="grand">
      <x/>
    </i>
  </rowItems>
  <colItems count="1">
    <i/>
  </colItems>
  <dataFields count="1">
    <dataField name="Count of EmployeeID" fld="0" subtotal="count" baseField="11"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2B6D3E-722B-4281-AB24-A6C11711B7B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9:B60" firstHeaderRow="1" firstDataRow="1" firstDataCol="1"/>
  <pivotFields count="12">
    <pivotField dataField="1" showAll="0"/>
    <pivotField showAll="0"/>
    <pivotField showAll="0">
      <items count="4">
        <item x="0"/>
        <item x="1"/>
        <item x="2"/>
        <item t="default"/>
      </items>
    </pivotField>
    <pivotField showAll="0"/>
    <pivotField axis="axisRow" showAll="0">
      <items count="8">
        <item x="5"/>
        <item x="4"/>
        <item x="1"/>
        <item x="2"/>
        <item x="0"/>
        <item x="3"/>
        <item x="6"/>
        <item t="default"/>
      </items>
    </pivotField>
    <pivotField showAll="0"/>
    <pivotField showAll="0"/>
    <pivotField showAll="0"/>
    <pivotField showAll="0"/>
    <pivotField showAll="0">
      <items count="6">
        <item x="1"/>
        <item x="3"/>
        <item x="0"/>
        <item x="2"/>
        <item x="4"/>
        <item t="default"/>
      </items>
    </pivotField>
    <pivotField axis="axisRow" showAll="0">
      <items count="4">
        <item x="0"/>
        <item x="1"/>
        <item x="2"/>
        <item t="default"/>
      </items>
    </pivotField>
    <pivotField showAll="0"/>
  </pivotFields>
  <rowFields count="2">
    <field x="4"/>
    <field x="10"/>
  </rowFields>
  <rowItems count="21">
    <i>
      <x/>
    </i>
    <i r="1">
      <x/>
    </i>
    <i r="1">
      <x v="1"/>
    </i>
    <i>
      <x v="1"/>
    </i>
    <i r="1">
      <x/>
    </i>
    <i r="1">
      <x v="1"/>
    </i>
    <i>
      <x v="2"/>
    </i>
    <i r="1">
      <x/>
    </i>
    <i r="1">
      <x v="1"/>
    </i>
    <i>
      <x v="3"/>
    </i>
    <i r="1">
      <x/>
    </i>
    <i r="1">
      <x v="1"/>
    </i>
    <i>
      <x v="4"/>
    </i>
    <i r="1">
      <x/>
    </i>
    <i r="1">
      <x v="1"/>
    </i>
    <i>
      <x v="5"/>
    </i>
    <i r="1">
      <x/>
    </i>
    <i r="1">
      <x v="1"/>
    </i>
    <i>
      <x v="6"/>
    </i>
    <i r="1">
      <x v="2"/>
    </i>
    <i t="grand">
      <x/>
    </i>
  </rowItems>
  <colItems count="1">
    <i/>
  </colItems>
  <dataFields count="1">
    <dataField name="Count of EmployeeID" fld="0" subtotal="count" baseField="4"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12EF4D-B486-4AEB-B6AA-D8B8E8B3E90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1:B37" firstHeaderRow="1" firstDataRow="1" firstDataCol="1"/>
  <pivotFields count="12">
    <pivotField dataField="1" showAll="0"/>
    <pivotField showAll="0"/>
    <pivotField showAll="0">
      <items count="4">
        <item x="0"/>
        <item x="1"/>
        <item x="2"/>
        <item t="default"/>
      </items>
    </pivotField>
    <pivotField showAll="0"/>
    <pivotField showAll="0">
      <items count="8">
        <item x="5"/>
        <item x="4"/>
        <item x="1"/>
        <item x="2"/>
        <item x="0"/>
        <item x="3"/>
        <item x="6"/>
        <item t="default"/>
      </items>
    </pivotField>
    <pivotField showAll="0"/>
    <pivotField showAll="0"/>
    <pivotField showAll="0"/>
    <pivotField showAll="0"/>
    <pivotField axis="axisRow" showAll="0">
      <items count="6">
        <item x="1"/>
        <item x="3"/>
        <item x="0"/>
        <item x="2"/>
        <item x="4"/>
        <item t="default"/>
      </items>
    </pivotField>
    <pivotField showAll="0">
      <items count="4">
        <item x="0"/>
        <item x="1"/>
        <item x="2"/>
        <item t="default"/>
      </items>
    </pivotField>
    <pivotField showAll="0"/>
  </pivotFields>
  <rowFields count="1">
    <field x="9"/>
  </rowFields>
  <rowItems count="6">
    <i>
      <x/>
    </i>
    <i>
      <x v="1"/>
    </i>
    <i>
      <x v="2"/>
    </i>
    <i>
      <x v="3"/>
    </i>
    <i>
      <x v="4"/>
    </i>
    <i t="grand">
      <x/>
    </i>
  </rowItems>
  <colItems count="1">
    <i/>
  </colItems>
  <dataFields count="1">
    <dataField name="Count of EmployeeID" fld="0" subtotal="count" baseField="9"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542B9F-CA3E-4633-BFA6-6B5CD775592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B29" firstHeaderRow="1" firstDataRow="1" firstDataCol="1"/>
  <pivotFields count="12">
    <pivotField dataField="1" showAll="0"/>
    <pivotField showAll="0"/>
    <pivotField axis="axisRow" showAll="0">
      <items count="4">
        <item x="0"/>
        <item x="1"/>
        <item x="2"/>
        <item t="default"/>
      </items>
    </pivotField>
    <pivotField showAll="0"/>
    <pivotField showAll="0">
      <items count="8">
        <item x="5"/>
        <item x="4"/>
        <item x="1"/>
        <item x="2"/>
        <item x="0"/>
        <item x="3"/>
        <item x="6"/>
        <item t="default"/>
      </items>
    </pivotField>
    <pivotField showAll="0"/>
    <pivotField showAll="0"/>
    <pivotField showAll="0"/>
    <pivotField showAll="0"/>
    <pivotField showAll="0">
      <items count="6">
        <item x="1"/>
        <item x="3"/>
        <item x="0"/>
        <item x="2"/>
        <item x="4"/>
        <item t="default"/>
      </items>
    </pivotField>
    <pivotField showAll="0">
      <items count="4">
        <item x="0"/>
        <item x="1"/>
        <item x="2"/>
        <item t="default"/>
      </items>
    </pivotField>
    <pivotField showAll="0"/>
  </pivotFields>
  <rowFields count="1">
    <field x="2"/>
  </rowFields>
  <rowItems count="4">
    <i>
      <x/>
    </i>
    <i>
      <x v="1"/>
    </i>
    <i>
      <x v="2"/>
    </i>
    <i t="grand">
      <x/>
    </i>
  </rowItems>
  <colItems count="1">
    <i/>
  </colItems>
  <dataFields count="1">
    <dataField name="Count of EmployeeID" fld="0" subtotal="count" baseField="2" baseItem="0"/>
  </dataFields>
  <chartFormats count="13">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2" count="1" selected="0">
            <x v="0"/>
          </reference>
        </references>
      </pivotArea>
    </chartFormat>
    <chartFormat chart="6" format="11">
      <pivotArea type="data" outline="0" fieldPosition="0">
        <references count="2">
          <reference field="4294967294" count="1" selected="0">
            <x v="0"/>
          </reference>
          <reference field="2" count="1" selected="0">
            <x v="1"/>
          </reference>
        </references>
      </pivotArea>
    </chartFormat>
    <chartFormat chart="6" format="12">
      <pivotArea type="data" outline="0" fieldPosition="0">
        <references count="2">
          <reference field="4294967294" count="1" selected="0">
            <x v="0"/>
          </reference>
          <reference field="2"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2" count="1" selected="0">
            <x v="0"/>
          </reference>
        </references>
      </pivotArea>
    </chartFormat>
    <chartFormat chart="7" format="15">
      <pivotArea type="data" outline="0" fieldPosition="0">
        <references count="2">
          <reference field="4294967294" count="1" selected="0">
            <x v="0"/>
          </reference>
          <reference field="2" count="1" selected="0">
            <x v="1"/>
          </reference>
        </references>
      </pivotArea>
    </chartFormat>
    <chartFormat chart="7" format="1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B79DAD-6FC8-4BD4-A8DA-19FF989F592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B22" firstHeaderRow="1" firstDataRow="1" firstDataCol="1"/>
  <pivotFields count="12">
    <pivotField showAll="0"/>
    <pivotField showAll="0"/>
    <pivotField showAll="0">
      <items count="4">
        <item x="0"/>
        <item x="1"/>
        <item x="2"/>
        <item t="default"/>
      </items>
    </pivotField>
    <pivotField showAll="0"/>
    <pivotField axis="axisRow" showAll="0">
      <items count="8">
        <item x="5"/>
        <item x="4"/>
        <item x="1"/>
        <item x="2"/>
        <item x="0"/>
        <item x="3"/>
        <item x="6"/>
        <item t="default"/>
      </items>
    </pivotField>
    <pivotField showAll="0"/>
    <pivotField dataField="1" showAll="0"/>
    <pivotField showAll="0"/>
    <pivotField showAll="0"/>
    <pivotField showAll="0">
      <items count="6">
        <item x="1"/>
        <item x="3"/>
        <item x="0"/>
        <item x="2"/>
        <item x="4"/>
        <item t="default"/>
      </items>
    </pivotField>
    <pivotField showAll="0">
      <items count="4">
        <item x="0"/>
        <item x="1"/>
        <item x="2"/>
        <item t="default"/>
      </items>
    </pivotField>
    <pivotField showAll="0"/>
  </pivotFields>
  <rowFields count="1">
    <field x="4"/>
  </rowFields>
  <rowItems count="8">
    <i>
      <x/>
    </i>
    <i>
      <x v="1"/>
    </i>
    <i>
      <x v="2"/>
    </i>
    <i>
      <x v="3"/>
    </i>
    <i>
      <x v="4"/>
    </i>
    <i>
      <x v="5"/>
    </i>
    <i>
      <x v="6"/>
    </i>
    <i t="grand">
      <x/>
    </i>
  </rowItems>
  <colItems count="1">
    <i/>
  </colItems>
  <dataFields count="1">
    <dataField name="Average of Salary" fld="6" subtotal="average" baseField="4"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28EF08-9228-4018-8B19-07A6B775A31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12">
    <pivotField dataField="1" showAll="0"/>
    <pivotField showAll="0"/>
    <pivotField showAll="0">
      <items count="4">
        <item x="0"/>
        <item x="1"/>
        <item x="2"/>
        <item t="default"/>
      </items>
    </pivotField>
    <pivotField showAll="0"/>
    <pivotField axis="axisRow" showAll="0">
      <items count="8">
        <item x="5"/>
        <item x="4"/>
        <item x="1"/>
        <item x="2"/>
        <item x="0"/>
        <item x="3"/>
        <item x="6"/>
        <item t="default"/>
      </items>
    </pivotField>
    <pivotField showAll="0"/>
    <pivotField showAll="0"/>
    <pivotField showAll="0"/>
    <pivotField showAll="0"/>
    <pivotField showAll="0">
      <items count="6">
        <item x="1"/>
        <item x="3"/>
        <item x="0"/>
        <item x="2"/>
        <item x="4"/>
        <item t="default"/>
      </items>
    </pivotField>
    <pivotField showAll="0">
      <items count="4">
        <item x="0"/>
        <item x="1"/>
        <item x="2"/>
        <item t="default"/>
      </items>
    </pivotField>
    <pivotField showAll="0">
      <items count="8">
        <item x="5"/>
        <item x="4"/>
        <item x="2"/>
        <item x="1"/>
        <item x="3"/>
        <item x="0"/>
        <item x="6"/>
        <item t="default"/>
      </items>
    </pivotField>
  </pivotFields>
  <rowFields count="1">
    <field x="4"/>
  </rowFields>
  <rowItems count="8">
    <i>
      <x/>
    </i>
    <i>
      <x v="1"/>
    </i>
    <i>
      <x v="2"/>
    </i>
    <i>
      <x v="3"/>
    </i>
    <i>
      <x v="4"/>
    </i>
    <i>
      <x v="5"/>
    </i>
    <i>
      <x v="6"/>
    </i>
    <i t="grand">
      <x/>
    </i>
  </rowItems>
  <colItems count="1">
    <i/>
  </colItems>
  <dataFields count="1">
    <dataField name="Count of EmployeeID" fld="0" subtotal="count" baseField="4"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1E89309-B0EE-41BC-92D9-6876763418CE}" sourceName="Gender">
  <pivotTables>
    <pivotTable tabId="4" name="PivotTable2"/>
    <pivotTable tabId="4" name="PivotTable3"/>
    <pivotTable tabId="4" name="PivotTable4"/>
    <pivotTable tabId="4" name="PivotTable5"/>
    <pivotTable tabId="4" name="PivotTable6"/>
    <pivotTable tabId="4" name="PivotTable7"/>
  </pivotTables>
  <data>
    <tabular pivotCacheId="1344137381">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9ADC330-EBD3-4CFB-920F-4D136CA5D0E3}" sourceName="Department">
  <pivotTables>
    <pivotTable tabId="4" name="PivotTable2"/>
    <pivotTable tabId="4" name="PivotTable3"/>
    <pivotTable tabId="4" name="PivotTable4"/>
    <pivotTable tabId="4" name="PivotTable5"/>
    <pivotTable tabId="4" name="PivotTable6"/>
    <pivotTable tabId="4" name="PivotTable7"/>
  </pivotTables>
  <data>
    <tabular pivotCacheId="1344137381">
      <items count="7">
        <i x="5" s="1"/>
        <i x="4" s="1"/>
        <i x="1" s="1"/>
        <i x="2" s="1"/>
        <i x="0" s="1"/>
        <i x="3"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A9957454-BCED-47AB-8DF2-F1CD880C9CD9}" sourceName="Performance">
  <pivotTables>
    <pivotTable tabId="4" name="PivotTable2"/>
    <pivotTable tabId="4" name="PivotTable3"/>
    <pivotTable tabId="4" name="PivotTable4"/>
    <pivotTable tabId="4" name="PivotTable5"/>
    <pivotTable tabId="4" name="PivotTable6"/>
    <pivotTable tabId="4" name="PivotTable7"/>
  </pivotTables>
  <data>
    <tabular pivotCacheId="1344137381">
      <items count="5">
        <i x="1" s="1"/>
        <i x="3" s="1"/>
        <i x="0" s="1"/>
        <i x="2"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40B76200-6605-4DC5-8973-D659A7051977}" sourceName="Attrition">
  <pivotTables>
    <pivotTable tabId="4" name="PivotTable2"/>
    <pivotTable tabId="4" name="PivotTable3"/>
    <pivotTable tabId="4" name="PivotTable4"/>
    <pivotTable tabId="4" name="PivotTable5"/>
    <pivotTable tabId="4" name="PivotTable6"/>
    <pivotTable tabId="4" name="PivotTable7"/>
  </pivotTables>
  <data>
    <tabular pivotCacheId="1344137381">
      <items count="3">
        <i x="0" s="1"/>
        <i x="1"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37A9150-F596-4200-9447-AF6377C9F5A3}" sourceName="Location">
  <pivotTables>
    <pivotTable tabId="4" name="PivotTable2"/>
  </pivotTables>
  <data>
    <tabular pivotCacheId="1344137381">
      <items count="7">
        <i x="5" s="1"/>
        <i x="4" s="1"/>
        <i x="2" s="1"/>
        <i x="1" s="1"/>
        <i x="3" s="1"/>
        <i x="0"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1C6D5BC-25F4-4804-AF9E-F5361E043DBA}" cache="Slicer_Gender" caption="Gender" rowHeight="241300"/>
  <slicer name="Department" xr10:uid="{F2143BB3-AD43-4339-9875-8E607505D84E}" cache="Slicer_Department" caption="Department" rowHeight="241300"/>
  <slicer name="Performance" xr10:uid="{B0CAE081-BD8A-44AD-828E-341E21656EF8}" cache="Slicer_Performance" caption="Performance" rowHeight="241300"/>
  <slicer name="Attrition" xr10:uid="{CED3725E-274A-4D03-AA16-7B0255AC6A04}" cache="Slicer_Attrition" caption="Attrition" rowHeight="241300"/>
  <slicer name="Location" xr10:uid="{E0A114D0-C22C-4320-9697-A227FFA6C3D3}" cache="Slicer_Location" caption="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E9CA931-05E1-4884-B149-8B32A0EB8F9B}" cache="Slicer_Gender" caption="Gender" rowHeight="241300"/>
  <slicer name="Department 1" xr10:uid="{DBD0A8AF-EA08-4152-8C61-57423C9D8552}" cache="Slicer_Department" caption="Department" rowHeight="241300"/>
  <slicer name="Performance 1" xr10:uid="{9B10E789-C611-4566-97DF-6AD18D4AC987}" cache="Slicer_Performance" caption="Performance" rowHeight="241300"/>
  <slicer name="Attrition 1" xr10:uid="{4759AC8F-E0FF-4B10-A1BF-3B8B86D72156}" cache="Slicer_Attrition" caption="Attri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917856-410B-4848-B7A2-D3066F40368C}" name="HRDatas" displayName="HRDatas" ref="A1:N302" totalsRowShown="0" headerRowDxfId="4">
  <autoFilter ref="A1:N302" xr:uid="{A2917856-410B-4848-B7A2-D3066F40368C}"/>
  <tableColumns count="14">
    <tableColumn id="1" xr3:uid="{C193A1BC-A18F-4D48-8AA0-48C5ACCE8525}" name="EmployeeID"/>
    <tableColumn id="2" xr3:uid="{8EBF3064-C92C-4B1F-B7BF-7C8EEA99CB40}" name="Name"/>
    <tableColumn id="3" xr3:uid="{94EFDF67-8AA6-4EC8-8C10-276914D64578}" name="Gender"/>
    <tableColumn id="4" xr3:uid="{B238FFB4-CDCC-4B21-93F9-8FD2211AA37D}" name="Age"/>
    <tableColumn id="5" xr3:uid="{2EC34D5E-47E6-4FBD-89F2-35A0B5482CDB}" name="Department"/>
    <tableColumn id="6" xr3:uid="{FDF40F4B-21B9-4DDF-93E0-D41A698C79AA}" name="JobRole"/>
    <tableColumn id="7" xr3:uid="{03422B19-697F-414A-88A8-E068F749F2CE}" name="Salary"/>
    <tableColumn id="8" xr3:uid="{1E0B7105-D24D-4502-ABA8-0CB40365D7E0}" name="Experience"/>
    <tableColumn id="9" xr3:uid="{0093AF3B-BF09-4C10-95AD-B789C7C84E21}" name="JoiningDate"/>
    <tableColumn id="10" xr3:uid="{AD396CF2-B14A-45B5-91D8-72E621C72920}" name="Performance"/>
    <tableColumn id="11" xr3:uid="{908E1860-6023-4477-A6CA-888E99407345}" name="Attrition"/>
    <tableColumn id="12" xr3:uid="{79335902-FF69-4A4C-A925-3CBDE1819F89}" name="Location"/>
    <tableColumn id="13" xr3:uid="{F697CD60-025D-4285-8339-2E5478E46409}" name="Column1"/>
    <tableColumn id="14" xr3:uid="{BAC58F08-FE17-4371-B3FB-041754E131FF}"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FA285-AA40-4556-B86C-921A4C2B37FE}">
  <dimension ref="A3:B71"/>
  <sheetViews>
    <sheetView topLeftCell="A37" workbookViewId="0">
      <selection activeCell="L2" sqref="L2"/>
    </sheetView>
  </sheetViews>
  <sheetFormatPr defaultRowHeight="15"/>
  <cols>
    <col min="1" max="1" width="13.140625" bestFit="1" customWidth="1"/>
    <col min="2" max="2" width="20" bestFit="1" customWidth="1"/>
  </cols>
  <sheetData>
    <row r="3" spans="1:2">
      <c r="A3" s="9" t="s">
        <v>346</v>
      </c>
      <c r="B3" t="s">
        <v>349</v>
      </c>
    </row>
    <row r="4" spans="1:2">
      <c r="A4" s="10" t="s">
        <v>64</v>
      </c>
      <c r="B4" s="12">
        <v>49</v>
      </c>
    </row>
    <row r="5" spans="1:2">
      <c r="A5" s="10" t="s">
        <v>47</v>
      </c>
      <c r="B5" s="12">
        <v>61</v>
      </c>
    </row>
    <row r="6" spans="1:2">
      <c r="A6" s="10" t="s">
        <v>27</v>
      </c>
      <c r="B6" s="12">
        <v>36</v>
      </c>
    </row>
    <row r="7" spans="1:2">
      <c r="A7" s="10" t="s">
        <v>35</v>
      </c>
      <c r="B7" s="12">
        <v>43</v>
      </c>
    </row>
    <row r="8" spans="1:2">
      <c r="A8" s="10" t="s">
        <v>14</v>
      </c>
      <c r="B8" s="12">
        <v>55</v>
      </c>
    </row>
    <row r="9" spans="1:2">
      <c r="A9" s="10" t="s">
        <v>43</v>
      </c>
      <c r="B9" s="12">
        <v>56</v>
      </c>
    </row>
    <row r="10" spans="1:2">
      <c r="A10" s="10" t="s">
        <v>347</v>
      </c>
      <c r="B10" s="12"/>
    </row>
    <row r="11" spans="1:2">
      <c r="A11" s="10" t="s">
        <v>348</v>
      </c>
      <c r="B11" s="12">
        <v>300</v>
      </c>
    </row>
    <row r="14" spans="1:2">
      <c r="A14" s="9" t="s">
        <v>346</v>
      </c>
      <c r="B14" t="s">
        <v>350</v>
      </c>
    </row>
    <row r="15" spans="1:2">
      <c r="A15" s="10" t="s">
        <v>64</v>
      </c>
      <c r="B15" s="12">
        <v>77522.510204081627</v>
      </c>
    </row>
    <row r="16" spans="1:2">
      <c r="A16" s="10" t="s">
        <v>47</v>
      </c>
      <c r="B16" s="12">
        <v>76744.016393442624</v>
      </c>
    </row>
    <row r="17" spans="1:2">
      <c r="A17" s="10" t="s">
        <v>27</v>
      </c>
      <c r="B17" s="12">
        <v>81629.444444444438</v>
      </c>
    </row>
    <row r="18" spans="1:2">
      <c r="A18" s="10" t="s">
        <v>35</v>
      </c>
      <c r="B18" s="12">
        <v>76496.58139534884</v>
      </c>
    </row>
    <row r="19" spans="1:2">
      <c r="A19" s="10" t="s">
        <v>14</v>
      </c>
      <c r="B19" s="12">
        <v>76710.236363636359</v>
      </c>
    </row>
    <row r="20" spans="1:2">
      <c r="A20" s="10" t="s">
        <v>43</v>
      </c>
      <c r="B20" s="12">
        <v>77664.96428571429</v>
      </c>
    </row>
    <row r="21" spans="1:2">
      <c r="A21" s="10" t="s">
        <v>347</v>
      </c>
      <c r="B21" s="12"/>
    </row>
    <row r="22" spans="1:2">
      <c r="A22" s="10" t="s">
        <v>348</v>
      </c>
      <c r="B22" s="12">
        <v>77587.67333333334</v>
      </c>
    </row>
    <row r="25" spans="1:2">
      <c r="A25" s="9" t="s">
        <v>346</v>
      </c>
      <c r="B25" t="s">
        <v>349</v>
      </c>
    </row>
    <row r="26" spans="1:2">
      <c r="A26" s="10" t="s">
        <v>13</v>
      </c>
      <c r="B26" s="12">
        <v>150</v>
      </c>
    </row>
    <row r="27" spans="1:2">
      <c r="A27" s="10" t="s">
        <v>26</v>
      </c>
      <c r="B27" s="12">
        <v>150</v>
      </c>
    </row>
    <row r="28" spans="1:2">
      <c r="A28" s="10" t="s">
        <v>347</v>
      </c>
      <c r="B28" s="12"/>
    </row>
    <row r="29" spans="1:2">
      <c r="A29" s="10" t="s">
        <v>348</v>
      </c>
      <c r="B29" s="12">
        <v>300</v>
      </c>
    </row>
    <row r="31" spans="1:2">
      <c r="A31" s="9" t="s">
        <v>346</v>
      </c>
      <c r="B31" t="s">
        <v>349</v>
      </c>
    </row>
    <row r="32" spans="1:2">
      <c r="A32" s="10" t="s">
        <v>23</v>
      </c>
      <c r="B32" s="12">
        <v>83</v>
      </c>
    </row>
    <row r="33" spans="1:2">
      <c r="A33" s="10" t="s">
        <v>50</v>
      </c>
      <c r="B33" s="12">
        <v>70</v>
      </c>
    </row>
    <row r="34" spans="1:2">
      <c r="A34" s="10" t="s">
        <v>17</v>
      </c>
      <c r="B34" s="12">
        <v>82</v>
      </c>
    </row>
    <row r="35" spans="1:2">
      <c r="A35" s="10" t="s">
        <v>46</v>
      </c>
      <c r="B35" s="12">
        <v>65</v>
      </c>
    </row>
    <row r="36" spans="1:2">
      <c r="A36" s="10" t="s">
        <v>347</v>
      </c>
      <c r="B36" s="12"/>
    </row>
    <row r="37" spans="1:2">
      <c r="A37" s="10" t="s">
        <v>348</v>
      </c>
      <c r="B37" s="12">
        <v>300</v>
      </c>
    </row>
    <row r="39" spans="1:2">
      <c r="A39" s="9" t="s">
        <v>346</v>
      </c>
      <c r="B39" t="s">
        <v>349</v>
      </c>
    </row>
    <row r="40" spans="1:2">
      <c r="A40" s="10" t="s">
        <v>64</v>
      </c>
      <c r="B40" s="12">
        <v>49</v>
      </c>
    </row>
    <row r="41" spans="1:2">
      <c r="A41" s="11" t="s">
        <v>18</v>
      </c>
      <c r="B41" s="12">
        <v>38</v>
      </c>
    </row>
    <row r="42" spans="1:2">
      <c r="A42" s="11" t="s">
        <v>55</v>
      </c>
      <c r="B42" s="12">
        <v>11</v>
      </c>
    </row>
    <row r="43" spans="1:2">
      <c r="A43" s="10" t="s">
        <v>47</v>
      </c>
      <c r="B43" s="12">
        <v>61</v>
      </c>
    </row>
    <row r="44" spans="1:2">
      <c r="A44" s="11" t="s">
        <v>18</v>
      </c>
      <c r="B44" s="12">
        <v>47</v>
      </c>
    </row>
    <row r="45" spans="1:2">
      <c r="A45" s="11" t="s">
        <v>55</v>
      </c>
      <c r="B45" s="12">
        <v>14</v>
      </c>
    </row>
    <row r="46" spans="1:2">
      <c r="A46" s="10" t="s">
        <v>27</v>
      </c>
      <c r="B46" s="12">
        <v>36</v>
      </c>
    </row>
    <row r="47" spans="1:2">
      <c r="A47" s="11" t="s">
        <v>18</v>
      </c>
      <c r="B47" s="12">
        <v>31</v>
      </c>
    </row>
    <row r="48" spans="1:2">
      <c r="A48" s="11" t="s">
        <v>55</v>
      </c>
      <c r="B48" s="12">
        <v>5</v>
      </c>
    </row>
    <row r="49" spans="1:2">
      <c r="A49" s="10" t="s">
        <v>35</v>
      </c>
      <c r="B49" s="12">
        <v>43</v>
      </c>
    </row>
    <row r="50" spans="1:2">
      <c r="A50" s="11" t="s">
        <v>18</v>
      </c>
      <c r="B50" s="12">
        <v>31</v>
      </c>
    </row>
    <row r="51" spans="1:2">
      <c r="A51" s="11" t="s">
        <v>55</v>
      </c>
      <c r="B51" s="12">
        <v>12</v>
      </c>
    </row>
    <row r="52" spans="1:2">
      <c r="A52" s="10" t="s">
        <v>14</v>
      </c>
      <c r="B52" s="12">
        <v>55</v>
      </c>
    </row>
    <row r="53" spans="1:2">
      <c r="A53" s="11" t="s">
        <v>18</v>
      </c>
      <c r="B53" s="12">
        <v>46</v>
      </c>
    </row>
    <row r="54" spans="1:2">
      <c r="A54" s="11" t="s">
        <v>55</v>
      </c>
      <c r="B54" s="12">
        <v>9</v>
      </c>
    </row>
    <row r="55" spans="1:2">
      <c r="A55" s="10" t="s">
        <v>43</v>
      </c>
      <c r="B55" s="12">
        <v>56</v>
      </c>
    </row>
    <row r="56" spans="1:2">
      <c r="A56" s="11" t="s">
        <v>18</v>
      </c>
      <c r="B56" s="12">
        <v>45</v>
      </c>
    </row>
    <row r="57" spans="1:2">
      <c r="A57" s="11" t="s">
        <v>55</v>
      </c>
      <c r="B57" s="12">
        <v>11</v>
      </c>
    </row>
    <row r="58" spans="1:2">
      <c r="A58" s="10" t="s">
        <v>347</v>
      </c>
      <c r="B58" s="12"/>
    </row>
    <row r="59" spans="1:2">
      <c r="A59" s="11" t="s">
        <v>347</v>
      </c>
      <c r="B59" s="12"/>
    </row>
    <row r="60" spans="1:2">
      <c r="A60" s="10" t="s">
        <v>348</v>
      </c>
      <c r="B60" s="12">
        <v>300</v>
      </c>
    </row>
    <row r="63" spans="1:2">
      <c r="A63" s="9" t="s">
        <v>346</v>
      </c>
      <c r="B63" t="s">
        <v>349</v>
      </c>
    </row>
    <row r="64" spans="1:2">
      <c r="A64" s="10" t="s">
        <v>68</v>
      </c>
      <c r="B64" s="12">
        <v>46</v>
      </c>
    </row>
    <row r="65" spans="1:2">
      <c r="A65" s="10" t="s">
        <v>59</v>
      </c>
      <c r="B65" s="12">
        <v>53</v>
      </c>
    </row>
    <row r="66" spans="1:2">
      <c r="A66" s="10" t="s">
        <v>32</v>
      </c>
      <c r="B66" s="12">
        <v>57</v>
      </c>
    </row>
    <row r="67" spans="1:2">
      <c r="A67" s="10" t="s">
        <v>24</v>
      </c>
      <c r="B67" s="12">
        <v>46</v>
      </c>
    </row>
    <row r="68" spans="1:2">
      <c r="A68" s="10" t="s">
        <v>52</v>
      </c>
      <c r="B68" s="12">
        <v>38</v>
      </c>
    </row>
    <row r="69" spans="1:2">
      <c r="A69" s="10" t="s">
        <v>19</v>
      </c>
      <c r="B69" s="12">
        <v>60</v>
      </c>
    </row>
    <row r="70" spans="1:2">
      <c r="A70" s="10" t="s">
        <v>347</v>
      </c>
      <c r="B70" s="12"/>
    </row>
    <row r="71" spans="1:2">
      <c r="A71" s="10" t="s">
        <v>348</v>
      </c>
      <c r="B71" s="12">
        <v>300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EFF68-4441-4DE0-A483-214C491D9ECD}">
  <sheetPr>
    <tabColor theme="5" tint="-0.249977111117893"/>
  </sheetPr>
  <dimension ref="A1:L2"/>
  <sheetViews>
    <sheetView showGridLines="0" tabSelected="1" topLeftCell="A3" workbookViewId="0">
      <selection activeCell="M31" sqref="M31"/>
    </sheetView>
  </sheetViews>
  <sheetFormatPr defaultRowHeight="15"/>
  <sheetData>
    <row r="1" spans="1:12">
      <c r="A1" s="20" t="s">
        <v>351</v>
      </c>
      <c r="B1" s="21"/>
      <c r="C1" s="21"/>
      <c r="D1" s="21"/>
      <c r="E1" s="21"/>
      <c r="F1" s="21"/>
      <c r="G1" s="21"/>
      <c r="H1" s="21"/>
      <c r="I1" s="21"/>
      <c r="J1" s="21"/>
      <c r="K1" s="21"/>
      <c r="L1" s="21"/>
    </row>
    <row r="2" spans="1:12">
      <c r="A2" s="21"/>
      <c r="B2" s="21"/>
      <c r="C2" s="21"/>
      <c r="D2" s="21"/>
      <c r="E2" s="21"/>
      <c r="F2" s="21"/>
      <c r="G2" s="21"/>
      <c r="H2" s="21"/>
      <c r="I2" s="21"/>
      <c r="J2" s="21"/>
      <c r="K2" s="21"/>
      <c r="L2" s="21"/>
    </row>
  </sheetData>
  <mergeCells count="1">
    <mergeCell ref="A1: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DF927-1A09-4F86-BE52-5F9D1B4771BA}">
  <dimension ref="A1:N301"/>
  <sheetViews>
    <sheetView topLeftCell="C2" workbookViewId="0">
      <selection activeCell="N5" sqref="N5"/>
    </sheetView>
  </sheetViews>
  <sheetFormatPr defaultRowHeight="15"/>
  <cols>
    <col min="1" max="1" width="14.42578125" customWidth="1"/>
    <col min="2" max="2" width="15.28515625" customWidth="1"/>
    <col min="3" max="3" width="14.140625" customWidth="1"/>
    <col min="4" max="4" width="6.7109375" bestFit="1" customWidth="1"/>
    <col min="5" max="5" width="14" bestFit="1" customWidth="1"/>
    <col min="6" max="7" width="11" customWidth="1"/>
    <col min="8" max="8" width="13.140625" bestFit="1" customWidth="1"/>
    <col min="9" max="9" width="14.28515625" customWidth="1"/>
    <col min="10" max="10" width="14.5703125" customWidth="1"/>
    <col min="11" max="11" width="14.140625" customWidth="1"/>
    <col min="12" max="12" width="12" customWidth="1"/>
    <col min="14" max="14" width="12.5703125" customWidth="1"/>
  </cols>
  <sheetData>
    <row r="1" spans="1:14" ht="15.75" thickBot="1">
      <c r="A1" t="s">
        <v>0</v>
      </c>
      <c r="B1" s="1" t="s">
        <v>1</v>
      </c>
      <c r="C1" s="2" t="s">
        <v>2</v>
      </c>
      <c r="D1" s="2" t="s">
        <v>3</v>
      </c>
      <c r="E1" s="2" t="s">
        <v>4</v>
      </c>
      <c r="F1" s="2" t="s">
        <v>5</v>
      </c>
      <c r="G1" s="2" t="s">
        <v>6</v>
      </c>
      <c r="H1" s="2" t="s">
        <v>7</v>
      </c>
      <c r="I1" s="2" t="s">
        <v>8</v>
      </c>
      <c r="J1" s="2" t="s">
        <v>9</v>
      </c>
      <c r="K1" s="2" t="s">
        <v>10</v>
      </c>
      <c r="L1" s="2" t="s">
        <v>11</v>
      </c>
      <c r="M1" s="2" t="s">
        <v>359</v>
      </c>
      <c r="N1" s="18" t="s">
        <v>360</v>
      </c>
    </row>
    <row r="2" spans="1:14" ht="15.75" thickTop="1">
      <c r="A2">
        <v>1001</v>
      </c>
      <c r="B2" s="3" t="s">
        <v>12</v>
      </c>
      <c r="C2" s="4" t="s">
        <v>13</v>
      </c>
      <c r="D2" s="4">
        <v>31</v>
      </c>
      <c r="E2" s="4" t="s">
        <v>14</v>
      </c>
      <c r="F2" s="4" t="s">
        <v>15</v>
      </c>
      <c r="G2" s="4">
        <v>79524</v>
      </c>
      <c r="H2" s="4">
        <v>4</v>
      </c>
      <c r="I2" s="4" t="s">
        <v>16</v>
      </c>
      <c r="J2" s="4" t="s">
        <v>17</v>
      </c>
      <c r="K2" s="4" t="s">
        <v>18</v>
      </c>
      <c r="L2" s="4" t="s">
        <v>19</v>
      </c>
      <c r="M2" s="13" t="s">
        <v>352</v>
      </c>
      <c r="N2" s="14" t="s">
        <v>353</v>
      </c>
    </row>
    <row r="3" spans="1:14" ht="45">
      <c r="A3">
        <v>1002</v>
      </c>
      <c r="B3" s="5" t="s">
        <v>20</v>
      </c>
      <c r="C3" s="6" t="s">
        <v>13</v>
      </c>
      <c r="D3" s="6">
        <v>26</v>
      </c>
      <c r="E3" s="6" t="s">
        <v>14</v>
      </c>
      <c r="F3" s="6" t="s">
        <v>21</v>
      </c>
      <c r="G3" s="6">
        <v>38606</v>
      </c>
      <c r="H3" s="6">
        <v>5</v>
      </c>
      <c r="I3" s="6" t="s">
        <v>22</v>
      </c>
      <c r="J3" s="6" t="s">
        <v>23</v>
      </c>
      <c r="K3" s="6" t="s">
        <v>18</v>
      </c>
      <c r="L3" s="6" t="s">
        <v>24</v>
      </c>
      <c r="M3" s="15" t="s">
        <v>354</v>
      </c>
      <c r="N3" s="16">
        <f>ROWS(HRDatas[])</f>
        <v>301</v>
      </c>
    </row>
    <row r="4" spans="1:14" ht="51">
      <c r="A4">
        <v>1003</v>
      </c>
      <c r="B4" s="7" t="s">
        <v>25</v>
      </c>
      <c r="C4" s="8" t="s">
        <v>26</v>
      </c>
      <c r="D4" s="8">
        <v>42</v>
      </c>
      <c r="E4" s="8" t="s">
        <v>27</v>
      </c>
      <c r="F4" s="8" t="s">
        <v>28</v>
      </c>
      <c r="G4" s="8">
        <v>74748</v>
      </c>
      <c r="H4" s="8">
        <v>14</v>
      </c>
      <c r="I4" s="8" t="s">
        <v>29</v>
      </c>
      <c r="J4" s="8" t="s">
        <v>23</v>
      </c>
      <c r="K4" s="8" t="s">
        <v>18</v>
      </c>
      <c r="L4" s="8" t="s">
        <v>24</v>
      </c>
      <c r="M4" s="15" t="s">
        <v>355</v>
      </c>
      <c r="N4" s="16">
        <f>AVERAGE(HRDatas[Salary])</f>
        <v>77587.67333333334</v>
      </c>
    </row>
    <row r="5" spans="1:14" ht="51">
      <c r="A5">
        <v>1004</v>
      </c>
      <c r="B5" s="5" t="s">
        <v>30</v>
      </c>
      <c r="C5" s="6" t="s">
        <v>26</v>
      </c>
      <c r="D5" s="6">
        <v>31</v>
      </c>
      <c r="E5" s="6" t="s">
        <v>14</v>
      </c>
      <c r="F5" s="6" t="s">
        <v>21</v>
      </c>
      <c r="G5" s="6">
        <v>117645</v>
      </c>
      <c r="H5" s="6">
        <v>6</v>
      </c>
      <c r="I5" s="6" t="s">
        <v>31</v>
      </c>
      <c r="J5" s="6" t="s">
        <v>23</v>
      </c>
      <c r="K5" s="6" t="s">
        <v>18</v>
      </c>
      <c r="L5" s="6" t="s">
        <v>32</v>
      </c>
      <c r="M5" s="17" t="s">
        <v>356</v>
      </c>
      <c r="N5" s="16">
        <f>AVERAGE(HRDatas[Experience])</f>
        <v>7.61</v>
      </c>
    </row>
    <row r="6" spans="1:14" ht="51">
      <c r="A6">
        <v>1005</v>
      </c>
      <c r="B6" s="7" t="s">
        <v>33</v>
      </c>
      <c r="C6" s="8" t="s">
        <v>26</v>
      </c>
      <c r="D6" s="8">
        <v>30</v>
      </c>
      <c r="E6" s="8" t="s">
        <v>14</v>
      </c>
      <c r="F6" s="8" t="s">
        <v>21</v>
      </c>
      <c r="G6" s="8">
        <v>46886</v>
      </c>
      <c r="H6" s="8">
        <v>9</v>
      </c>
      <c r="I6" s="8" t="s">
        <v>34</v>
      </c>
      <c r="J6" s="8" t="s">
        <v>23</v>
      </c>
      <c r="K6" s="8" t="s">
        <v>18</v>
      </c>
      <c r="L6" s="8" t="s">
        <v>32</v>
      </c>
      <c r="M6" s="17" t="s">
        <v>357</v>
      </c>
      <c r="N6" s="16">
        <f>COUNTIF(HRDatas[Attrition],"Yes")</f>
        <v>62</v>
      </c>
    </row>
    <row r="7" spans="1:14" ht="30">
      <c r="A7">
        <v>1006</v>
      </c>
      <c r="B7" s="5" t="s">
        <v>30</v>
      </c>
      <c r="C7" s="6" t="s">
        <v>26</v>
      </c>
      <c r="D7" s="6">
        <v>36</v>
      </c>
      <c r="E7" s="6" t="s">
        <v>35</v>
      </c>
      <c r="F7" s="6" t="s">
        <v>36</v>
      </c>
      <c r="G7" s="6">
        <v>36836</v>
      </c>
      <c r="H7" s="6">
        <v>8</v>
      </c>
      <c r="I7" s="6" t="s">
        <v>37</v>
      </c>
      <c r="J7" s="6" t="s">
        <v>17</v>
      </c>
      <c r="K7" s="6" t="s">
        <v>18</v>
      </c>
      <c r="L7" s="6" t="s">
        <v>19</v>
      </c>
      <c r="M7" s="17" t="s">
        <v>358</v>
      </c>
      <c r="N7" s="19">
        <f>COUNTIF(HRDatas[Attrition],"Yes")/ROWS(HRDatas[])</f>
        <v>0.20598006644518271</v>
      </c>
    </row>
    <row r="8" spans="1:14">
      <c r="A8">
        <v>1007</v>
      </c>
      <c r="B8" s="7" t="s">
        <v>20</v>
      </c>
      <c r="C8" s="8" t="s">
        <v>13</v>
      </c>
      <c r="D8" s="8">
        <v>33</v>
      </c>
      <c r="E8" s="8" t="s">
        <v>27</v>
      </c>
      <c r="F8" s="8" t="s">
        <v>38</v>
      </c>
      <c r="G8" s="8">
        <v>107425</v>
      </c>
      <c r="H8" s="8">
        <v>13</v>
      </c>
      <c r="I8" s="8" t="s">
        <v>39</v>
      </c>
      <c r="J8" s="8" t="s">
        <v>23</v>
      </c>
      <c r="K8" s="8" t="s">
        <v>18</v>
      </c>
      <c r="L8" s="8" t="s">
        <v>32</v>
      </c>
    </row>
    <row r="9" spans="1:14">
      <c r="A9">
        <v>1008</v>
      </c>
      <c r="B9" s="5" t="s">
        <v>40</v>
      </c>
      <c r="C9" s="6" t="s">
        <v>26</v>
      </c>
      <c r="D9" s="6">
        <v>36</v>
      </c>
      <c r="E9" s="6" t="s">
        <v>27</v>
      </c>
      <c r="F9" s="6" t="s">
        <v>28</v>
      </c>
      <c r="G9" s="6">
        <v>113981</v>
      </c>
      <c r="H9" s="6">
        <v>14</v>
      </c>
      <c r="I9" s="6" t="s">
        <v>41</v>
      </c>
      <c r="J9" s="6" t="s">
        <v>17</v>
      </c>
      <c r="K9" s="6" t="s">
        <v>18</v>
      </c>
      <c r="L9" s="6" t="s">
        <v>19</v>
      </c>
    </row>
    <row r="10" spans="1:14">
      <c r="A10">
        <v>1009</v>
      </c>
      <c r="B10" s="7" t="s">
        <v>42</v>
      </c>
      <c r="C10" s="8" t="s">
        <v>13</v>
      </c>
      <c r="D10" s="8">
        <v>33</v>
      </c>
      <c r="E10" s="8" t="s">
        <v>43</v>
      </c>
      <c r="F10" s="8" t="s">
        <v>44</v>
      </c>
      <c r="G10" s="8">
        <v>67304</v>
      </c>
      <c r="H10" s="8">
        <v>4</v>
      </c>
      <c r="I10" s="8" t="s">
        <v>45</v>
      </c>
      <c r="J10" s="8" t="s">
        <v>46</v>
      </c>
      <c r="K10" s="8" t="s">
        <v>18</v>
      </c>
      <c r="L10" s="8" t="s">
        <v>19</v>
      </c>
    </row>
    <row r="11" spans="1:14">
      <c r="A11">
        <v>1010</v>
      </c>
      <c r="B11" s="5" t="s">
        <v>12</v>
      </c>
      <c r="C11" s="6" t="s">
        <v>13</v>
      </c>
      <c r="D11" s="6">
        <v>29</v>
      </c>
      <c r="E11" s="6" t="s">
        <v>47</v>
      </c>
      <c r="F11" s="6" t="s">
        <v>48</v>
      </c>
      <c r="G11" s="6">
        <v>94284</v>
      </c>
      <c r="H11" s="6">
        <v>0</v>
      </c>
      <c r="I11" s="6" t="s">
        <v>49</v>
      </c>
      <c r="J11" s="6" t="s">
        <v>50</v>
      </c>
      <c r="K11" s="6" t="s">
        <v>18</v>
      </c>
      <c r="L11" s="6" t="s">
        <v>24</v>
      </c>
    </row>
    <row r="12" spans="1:14">
      <c r="A12">
        <v>1011</v>
      </c>
      <c r="B12" s="7" t="s">
        <v>42</v>
      </c>
      <c r="C12" s="8" t="s">
        <v>13</v>
      </c>
      <c r="D12" s="8">
        <v>37</v>
      </c>
      <c r="E12" s="8" t="s">
        <v>14</v>
      </c>
      <c r="F12" s="8" t="s">
        <v>15</v>
      </c>
      <c r="G12" s="8">
        <v>102520</v>
      </c>
      <c r="H12" s="8">
        <v>8</v>
      </c>
      <c r="I12" s="8" t="s">
        <v>51</v>
      </c>
      <c r="J12" s="8" t="s">
        <v>46</v>
      </c>
      <c r="K12" s="8" t="s">
        <v>18</v>
      </c>
      <c r="L12" s="8" t="s">
        <v>52</v>
      </c>
    </row>
    <row r="13" spans="1:14">
      <c r="A13">
        <v>1012</v>
      </c>
      <c r="B13" s="5" t="s">
        <v>53</v>
      </c>
      <c r="C13" s="6" t="s">
        <v>13</v>
      </c>
      <c r="D13" s="6">
        <v>33</v>
      </c>
      <c r="E13" s="6" t="s">
        <v>14</v>
      </c>
      <c r="F13" s="6" t="s">
        <v>21</v>
      </c>
      <c r="G13" s="6">
        <v>66044</v>
      </c>
      <c r="H13" s="6">
        <v>8</v>
      </c>
      <c r="I13" s="6" t="s">
        <v>54</v>
      </c>
      <c r="J13" s="6" t="s">
        <v>17</v>
      </c>
      <c r="K13" s="6" t="s">
        <v>55</v>
      </c>
      <c r="L13" s="6" t="s">
        <v>24</v>
      </c>
    </row>
    <row r="14" spans="1:14">
      <c r="A14">
        <v>1013</v>
      </c>
      <c r="B14" s="7" t="s">
        <v>20</v>
      </c>
      <c r="C14" s="8" t="s">
        <v>26</v>
      </c>
      <c r="D14" s="8">
        <v>27</v>
      </c>
      <c r="E14" s="8" t="s">
        <v>14</v>
      </c>
      <c r="F14" s="8" t="s">
        <v>21</v>
      </c>
      <c r="G14" s="8">
        <v>61276</v>
      </c>
      <c r="H14" s="8">
        <v>5</v>
      </c>
      <c r="I14" s="8" t="s">
        <v>56</v>
      </c>
      <c r="J14" s="8" t="s">
        <v>46</v>
      </c>
      <c r="K14" s="8" t="s">
        <v>18</v>
      </c>
      <c r="L14" s="8" t="s">
        <v>19</v>
      </c>
    </row>
    <row r="15" spans="1:14">
      <c r="A15">
        <v>1014</v>
      </c>
      <c r="B15" s="5" t="s">
        <v>57</v>
      </c>
      <c r="C15" s="6" t="s">
        <v>13</v>
      </c>
      <c r="D15" s="6">
        <v>26</v>
      </c>
      <c r="E15" s="6" t="s">
        <v>27</v>
      </c>
      <c r="F15" s="6" t="s">
        <v>38</v>
      </c>
      <c r="G15" s="6">
        <v>96530</v>
      </c>
      <c r="H15" s="6">
        <v>1</v>
      </c>
      <c r="I15" s="6" t="s">
        <v>58</v>
      </c>
      <c r="J15" s="6" t="s">
        <v>50</v>
      </c>
      <c r="K15" s="6" t="s">
        <v>18</v>
      </c>
      <c r="L15" s="6" t="s">
        <v>59</v>
      </c>
    </row>
    <row r="16" spans="1:14">
      <c r="A16">
        <v>1015</v>
      </c>
      <c r="B16" s="7" t="s">
        <v>60</v>
      </c>
      <c r="C16" s="8" t="s">
        <v>13</v>
      </c>
      <c r="D16" s="8">
        <v>29</v>
      </c>
      <c r="E16" s="8" t="s">
        <v>27</v>
      </c>
      <c r="F16" s="8" t="s">
        <v>61</v>
      </c>
      <c r="G16" s="8">
        <v>41229</v>
      </c>
      <c r="H16" s="8">
        <v>2</v>
      </c>
      <c r="I16" s="8" t="s">
        <v>62</v>
      </c>
      <c r="J16" s="8" t="s">
        <v>17</v>
      </c>
      <c r="K16" s="8" t="s">
        <v>18</v>
      </c>
      <c r="L16" s="8" t="s">
        <v>19</v>
      </c>
    </row>
    <row r="17" spans="1:12">
      <c r="A17">
        <v>1016</v>
      </c>
      <c r="B17" s="5" t="s">
        <v>63</v>
      </c>
      <c r="C17" s="6" t="s">
        <v>13</v>
      </c>
      <c r="D17" s="6">
        <v>25</v>
      </c>
      <c r="E17" s="6" t="s">
        <v>64</v>
      </c>
      <c r="F17" s="6" t="s">
        <v>65</v>
      </c>
      <c r="G17" s="6">
        <v>97820</v>
      </c>
      <c r="H17" s="6">
        <v>2</v>
      </c>
      <c r="I17" s="6" t="s">
        <v>66</v>
      </c>
      <c r="J17" s="6" t="s">
        <v>50</v>
      </c>
      <c r="K17" s="6" t="s">
        <v>18</v>
      </c>
      <c r="L17" s="6" t="s">
        <v>32</v>
      </c>
    </row>
    <row r="18" spans="1:12">
      <c r="A18">
        <v>1017</v>
      </c>
      <c r="B18" s="7" t="s">
        <v>12</v>
      </c>
      <c r="C18" s="8" t="s">
        <v>13</v>
      </c>
      <c r="D18" s="8">
        <v>33</v>
      </c>
      <c r="E18" s="8" t="s">
        <v>14</v>
      </c>
      <c r="F18" s="8" t="s">
        <v>15</v>
      </c>
      <c r="G18" s="8">
        <v>92968</v>
      </c>
      <c r="H18" s="8">
        <v>13</v>
      </c>
      <c r="I18" s="8" t="s">
        <v>67</v>
      </c>
      <c r="J18" s="8" t="s">
        <v>17</v>
      </c>
      <c r="K18" s="8" t="s">
        <v>55</v>
      </c>
      <c r="L18" s="8" t="s">
        <v>68</v>
      </c>
    </row>
    <row r="19" spans="1:12">
      <c r="A19">
        <v>1018</v>
      </c>
      <c r="B19" s="5" t="s">
        <v>57</v>
      </c>
      <c r="C19" s="6" t="s">
        <v>26</v>
      </c>
      <c r="D19" s="6">
        <v>30</v>
      </c>
      <c r="E19" s="6" t="s">
        <v>47</v>
      </c>
      <c r="F19" s="6" t="s">
        <v>69</v>
      </c>
      <c r="G19" s="6">
        <v>63808</v>
      </c>
      <c r="H19" s="6">
        <v>3</v>
      </c>
      <c r="I19" s="6" t="s">
        <v>70</v>
      </c>
      <c r="J19" s="6" t="s">
        <v>50</v>
      </c>
      <c r="K19" s="6" t="s">
        <v>55</v>
      </c>
      <c r="L19" s="6" t="s">
        <v>19</v>
      </c>
    </row>
    <row r="20" spans="1:12">
      <c r="A20">
        <v>1019</v>
      </c>
      <c r="B20" s="7" t="s">
        <v>71</v>
      </c>
      <c r="C20" s="8" t="s">
        <v>13</v>
      </c>
      <c r="D20" s="8">
        <v>25</v>
      </c>
      <c r="E20" s="8" t="s">
        <v>27</v>
      </c>
      <c r="F20" s="8" t="s">
        <v>28</v>
      </c>
      <c r="G20" s="8">
        <v>96933</v>
      </c>
      <c r="H20" s="8">
        <v>5</v>
      </c>
      <c r="I20" s="8" t="s">
        <v>72</v>
      </c>
      <c r="J20" s="8" t="s">
        <v>17</v>
      </c>
      <c r="K20" s="8" t="s">
        <v>18</v>
      </c>
      <c r="L20" s="8" t="s">
        <v>19</v>
      </c>
    </row>
    <row r="21" spans="1:12">
      <c r="A21">
        <v>1020</v>
      </c>
      <c r="B21" s="5" t="s">
        <v>73</v>
      </c>
      <c r="C21" s="6" t="s">
        <v>26</v>
      </c>
      <c r="D21" s="6">
        <v>29</v>
      </c>
      <c r="E21" s="6" t="s">
        <v>47</v>
      </c>
      <c r="F21" s="6" t="s">
        <v>48</v>
      </c>
      <c r="G21" s="6">
        <v>59965</v>
      </c>
      <c r="H21" s="6">
        <v>1</v>
      </c>
      <c r="I21" s="6" t="s">
        <v>74</v>
      </c>
      <c r="J21" s="6" t="s">
        <v>17</v>
      </c>
      <c r="K21" s="6" t="s">
        <v>55</v>
      </c>
      <c r="L21" s="6" t="s">
        <v>68</v>
      </c>
    </row>
    <row r="22" spans="1:12">
      <c r="A22">
        <v>1021</v>
      </c>
      <c r="B22" s="7" t="s">
        <v>71</v>
      </c>
      <c r="C22" s="8" t="s">
        <v>26</v>
      </c>
      <c r="D22" s="8">
        <v>41</v>
      </c>
      <c r="E22" s="8" t="s">
        <v>14</v>
      </c>
      <c r="F22" s="8" t="s">
        <v>15</v>
      </c>
      <c r="G22" s="8">
        <v>53585</v>
      </c>
      <c r="H22" s="8">
        <v>15</v>
      </c>
      <c r="I22" s="8" t="s">
        <v>75</v>
      </c>
      <c r="J22" s="8" t="s">
        <v>50</v>
      </c>
      <c r="K22" s="8" t="s">
        <v>18</v>
      </c>
      <c r="L22" s="8" t="s">
        <v>52</v>
      </c>
    </row>
    <row r="23" spans="1:12">
      <c r="A23">
        <v>1022</v>
      </c>
      <c r="B23" s="5" t="s">
        <v>20</v>
      </c>
      <c r="C23" s="6" t="s">
        <v>13</v>
      </c>
      <c r="D23" s="6">
        <v>31</v>
      </c>
      <c r="E23" s="6" t="s">
        <v>27</v>
      </c>
      <c r="F23" s="6" t="s">
        <v>28</v>
      </c>
      <c r="G23" s="6">
        <v>30485</v>
      </c>
      <c r="H23" s="6">
        <v>3</v>
      </c>
      <c r="I23" s="6" t="s">
        <v>76</v>
      </c>
      <c r="J23" s="6" t="s">
        <v>50</v>
      </c>
      <c r="K23" s="6" t="s">
        <v>55</v>
      </c>
      <c r="L23" s="6" t="s">
        <v>59</v>
      </c>
    </row>
    <row r="24" spans="1:12">
      <c r="A24">
        <v>1023</v>
      </c>
      <c r="B24" s="7" t="s">
        <v>53</v>
      </c>
      <c r="C24" s="8" t="s">
        <v>13</v>
      </c>
      <c r="D24" s="8">
        <v>34</v>
      </c>
      <c r="E24" s="8" t="s">
        <v>43</v>
      </c>
      <c r="F24" s="8" t="s">
        <v>44</v>
      </c>
      <c r="G24" s="8">
        <v>38988</v>
      </c>
      <c r="H24" s="8">
        <v>8</v>
      </c>
      <c r="I24" s="8" t="s">
        <v>77</v>
      </c>
      <c r="J24" s="8" t="s">
        <v>50</v>
      </c>
      <c r="K24" s="8" t="s">
        <v>18</v>
      </c>
      <c r="L24" s="8" t="s">
        <v>32</v>
      </c>
    </row>
    <row r="25" spans="1:12">
      <c r="A25">
        <v>1024</v>
      </c>
      <c r="B25" s="5" t="s">
        <v>78</v>
      </c>
      <c r="C25" s="6" t="s">
        <v>26</v>
      </c>
      <c r="D25" s="6">
        <v>27</v>
      </c>
      <c r="E25" s="6" t="s">
        <v>27</v>
      </c>
      <c r="F25" s="6" t="s">
        <v>61</v>
      </c>
      <c r="G25" s="6">
        <v>39005</v>
      </c>
      <c r="H25" s="6">
        <v>0</v>
      </c>
      <c r="I25" s="6" t="s">
        <v>79</v>
      </c>
      <c r="J25" s="6" t="s">
        <v>23</v>
      </c>
      <c r="K25" s="6" t="s">
        <v>18</v>
      </c>
      <c r="L25" s="6" t="s">
        <v>59</v>
      </c>
    </row>
    <row r="26" spans="1:12">
      <c r="A26">
        <v>1025</v>
      </c>
      <c r="B26" s="7" t="s">
        <v>25</v>
      </c>
      <c r="C26" s="8" t="s">
        <v>13</v>
      </c>
      <c r="D26" s="8">
        <v>41</v>
      </c>
      <c r="E26" s="8" t="s">
        <v>64</v>
      </c>
      <c r="F26" s="8" t="s">
        <v>65</v>
      </c>
      <c r="G26" s="8">
        <v>92961</v>
      </c>
      <c r="H26" s="8">
        <v>12</v>
      </c>
      <c r="I26" s="8" t="s">
        <v>80</v>
      </c>
      <c r="J26" s="8" t="s">
        <v>50</v>
      </c>
      <c r="K26" s="8" t="s">
        <v>18</v>
      </c>
      <c r="L26" s="8" t="s">
        <v>32</v>
      </c>
    </row>
    <row r="27" spans="1:12">
      <c r="A27">
        <v>1026</v>
      </c>
      <c r="B27" s="5" t="s">
        <v>42</v>
      </c>
      <c r="C27" s="6" t="s">
        <v>26</v>
      </c>
      <c r="D27" s="6">
        <v>29</v>
      </c>
      <c r="E27" s="6" t="s">
        <v>14</v>
      </c>
      <c r="F27" s="6" t="s">
        <v>15</v>
      </c>
      <c r="G27" s="6">
        <v>106318</v>
      </c>
      <c r="H27" s="6">
        <v>0</v>
      </c>
      <c r="I27" s="6" t="s">
        <v>81</v>
      </c>
      <c r="J27" s="6" t="s">
        <v>23</v>
      </c>
      <c r="K27" s="6" t="s">
        <v>18</v>
      </c>
      <c r="L27" s="6" t="s">
        <v>59</v>
      </c>
    </row>
    <row r="28" spans="1:12">
      <c r="A28">
        <v>1027</v>
      </c>
      <c r="B28" s="7" t="s">
        <v>42</v>
      </c>
      <c r="C28" s="8" t="s">
        <v>26</v>
      </c>
      <c r="D28" s="8">
        <v>40</v>
      </c>
      <c r="E28" s="8" t="s">
        <v>64</v>
      </c>
      <c r="F28" s="8" t="s">
        <v>82</v>
      </c>
      <c r="G28" s="8">
        <v>53394</v>
      </c>
      <c r="H28" s="8">
        <v>14</v>
      </c>
      <c r="I28" s="8" t="s">
        <v>83</v>
      </c>
      <c r="J28" s="8" t="s">
        <v>46</v>
      </c>
      <c r="K28" s="8" t="s">
        <v>18</v>
      </c>
      <c r="L28" s="8" t="s">
        <v>59</v>
      </c>
    </row>
    <row r="29" spans="1:12">
      <c r="A29">
        <v>1028</v>
      </c>
      <c r="B29" s="5" t="s">
        <v>78</v>
      </c>
      <c r="C29" s="6" t="s">
        <v>13</v>
      </c>
      <c r="D29" s="6">
        <v>38</v>
      </c>
      <c r="E29" s="6" t="s">
        <v>43</v>
      </c>
      <c r="F29" s="6" t="s">
        <v>44</v>
      </c>
      <c r="G29" s="6">
        <v>98915</v>
      </c>
      <c r="H29" s="6">
        <v>12</v>
      </c>
      <c r="I29" s="6" t="s">
        <v>84</v>
      </c>
      <c r="J29" s="6" t="s">
        <v>17</v>
      </c>
      <c r="K29" s="6" t="s">
        <v>18</v>
      </c>
      <c r="L29" s="6" t="s">
        <v>32</v>
      </c>
    </row>
    <row r="30" spans="1:12">
      <c r="A30">
        <v>1029</v>
      </c>
      <c r="B30" s="7" t="s">
        <v>85</v>
      </c>
      <c r="C30" s="8" t="s">
        <v>13</v>
      </c>
      <c r="D30" s="8">
        <v>36</v>
      </c>
      <c r="E30" s="8" t="s">
        <v>35</v>
      </c>
      <c r="F30" s="8" t="s">
        <v>36</v>
      </c>
      <c r="G30" s="8">
        <v>113112</v>
      </c>
      <c r="H30" s="8">
        <v>8</v>
      </c>
      <c r="I30" s="8" t="s">
        <v>86</v>
      </c>
      <c r="J30" s="8" t="s">
        <v>17</v>
      </c>
      <c r="K30" s="8" t="s">
        <v>18</v>
      </c>
      <c r="L30" s="8" t="s">
        <v>32</v>
      </c>
    </row>
    <row r="31" spans="1:12">
      <c r="A31">
        <v>1030</v>
      </c>
      <c r="B31" s="5" t="s">
        <v>87</v>
      </c>
      <c r="C31" s="6" t="s">
        <v>13</v>
      </c>
      <c r="D31" s="6">
        <v>38</v>
      </c>
      <c r="E31" s="6" t="s">
        <v>43</v>
      </c>
      <c r="F31" s="6" t="s">
        <v>88</v>
      </c>
      <c r="G31" s="6">
        <v>112040</v>
      </c>
      <c r="H31" s="6">
        <v>15</v>
      </c>
      <c r="I31" s="6" t="s">
        <v>89</v>
      </c>
      <c r="J31" s="6" t="s">
        <v>23</v>
      </c>
      <c r="K31" s="6" t="s">
        <v>55</v>
      </c>
      <c r="L31" s="6" t="s">
        <v>24</v>
      </c>
    </row>
    <row r="32" spans="1:12">
      <c r="A32">
        <v>1031</v>
      </c>
      <c r="B32" s="7" t="s">
        <v>60</v>
      </c>
      <c r="C32" s="8" t="s">
        <v>13</v>
      </c>
      <c r="D32" s="8">
        <v>37</v>
      </c>
      <c r="E32" s="8" t="s">
        <v>43</v>
      </c>
      <c r="F32" s="8" t="s">
        <v>44</v>
      </c>
      <c r="G32" s="8">
        <v>52555</v>
      </c>
      <c r="H32" s="8">
        <v>11</v>
      </c>
      <c r="I32" s="8" t="s">
        <v>90</v>
      </c>
      <c r="J32" s="8" t="s">
        <v>46</v>
      </c>
      <c r="K32" s="8" t="s">
        <v>18</v>
      </c>
      <c r="L32" s="8" t="s">
        <v>19</v>
      </c>
    </row>
    <row r="33" spans="1:12">
      <c r="A33">
        <v>1032</v>
      </c>
      <c r="B33" s="5" t="s">
        <v>85</v>
      </c>
      <c r="C33" s="6" t="s">
        <v>13</v>
      </c>
      <c r="D33" s="6">
        <v>32</v>
      </c>
      <c r="E33" s="6" t="s">
        <v>43</v>
      </c>
      <c r="F33" s="6" t="s">
        <v>88</v>
      </c>
      <c r="G33" s="6">
        <v>75350</v>
      </c>
      <c r="H33" s="6">
        <v>10</v>
      </c>
      <c r="I33" s="6" t="s">
        <v>91</v>
      </c>
      <c r="J33" s="6" t="s">
        <v>23</v>
      </c>
      <c r="K33" s="6" t="s">
        <v>18</v>
      </c>
      <c r="L33" s="6" t="s">
        <v>19</v>
      </c>
    </row>
    <row r="34" spans="1:12">
      <c r="A34">
        <v>1033</v>
      </c>
      <c r="B34" s="7" t="s">
        <v>92</v>
      </c>
      <c r="C34" s="8" t="s">
        <v>26</v>
      </c>
      <c r="D34" s="8">
        <v>34</v>
      </c>
      <c r="E34" s="8" t="s">
        <v>14</v>
      </c>
      <c r="F34" s="8" t="s">
        <v>15</v>
      </c>
      <c r="G34" s="8">
        <v>92095</v>
      </c>
      <c r="H34" s="8">
        <v>12</v>
      </c>
      <c r="I34" s="8" t="s">
        <v>93</v>
      </c>
      <c r="J34" s="8" t="s">
        <v>50</v>
      </c>
      <c r="K34" s="8" t="s">
        <v>55</v>
      </c>
      <c r="L34" s="8" t="s">
        <v>68</v>
      </c>
    </row>
    <row r="35" spans="1:12">
      <c r="A35">
        <v>1034</v>
      </c>
      <c r="B35" s="5" t="s">
        <v>40</v>
      </c>
      <c r="C35" s="6" t="s">
        <v>13</v>
      </c>
      <c r="D35" s="6">
        <v>35</v>
      </c>
      <c r="E35" s="6" t="s">
        <v>64</v>
      </c>
      <c r="F35" s="6" t="s">
        <v>65</v>
      </c>
      <c r="G35" s="6">
        <v>111783</v>
      </c>
      <c r="H35" s="6">
        <v>8</v>
      </c>
      <c r="I35" s="6" t="s">
        <v>94</v>
      </c>
      <c r="J35" s="6" t="s">
        <v>17</v>
      </c>
      <c r="K35" s="6" t="s">
        <v>18</v>
      </c>
      <c r="L35" s="6" t="s">
        <v>52</v>
      </c>
    </row>
    <row r="36" spans="1:12">
      <c r="A36">
        <v>1035</v>
      </c>
      <c r="B36" s="7" t="s">
        <v>20</v>
      </c>
      <c r="C36" s="8" t="s">
        <v>13</v>
      </c>
      <c r="D36" s="8">
        <v>37</v>
      </c>
      <c r="E36" s="8" t="s">
        <v>43</v>
      </c>
      <c r="F36" s="8" t="s">
        <v>88</v>
      </c>
      <c r="G36" s="8">
        <v>53469</v>
      </c>
      <c r="H36" s="8">
        <v>15</v>
      </c>
      <c r="I36" s="8" t="s">
        <v>95</v>
      </c>
      <c r="J36" s="8" t="s">
        <v>23</v>
      </c>
      <c r="K36" s="8" t="s">
        <v>55</v>
      </c>
      <c r="L36" s="8" t="s">
        <v>59</v>
      </c>
    </row>
    <row r="37" spans="1:12">
      <c r="A37">
        <v>1036</v>
      </c>
      <c r="B37" s="5" t="s">
        <v>73</v>
      </c>
      <c r="C37" s="6" t="s">
        <v>26</v>
      </c>
      <c r="D37" s="6">
        <v>25</v>
      </c>
      <c r="E37" s="6" t="s">
        <v>43</v>
      </c>
      <c r="F37" s="6" t="s">
        <v>44</v>
      </c>
      <c r="G37" s="6">
        <v>116768</v>
      </c>
      <c r="H37" s="6">
        <v>3</v>
      </c>
      <c r="I37" s="6" t="s">
        <v>96</v>
      </c>
      <c r="J37" s="6" t="s">
        <v>23</v>
      </c>
      <c r="K37" s="6" t="s">
        <v>55</v>
      </c>
      <c r="L37" s="6" t="s">
        <v>59</v>
      </c>
    </row>
    <row r="38" spans="1:12">
      <c r="A38">
        <v>1037</v>
      </c>
      <c r="B38" s="7" t="s">
        <v>12</v>
      </c>
      <c r="C38" s="8" t="s">
        <v>13</v>
      </c>
      <c r="D38" s="8">
        <v>33</v>
      </c>
      <c r="E38" s="8" t="s">
        <v>43</v>
      </c>
      <c r="F38" s="8" t="s">
        <v>88</v>
      </c>
      <c r="G38" s="8">
        <v>97671</v>
      </c>
      <c r="H38" s="8">
        <v>12</v>
      </c>
      <c r="I38" s="8" t="s">
        <v>49</v>
      </c>
      <c r="J38" s="8" t="s">
        <v>46</v>
      </c>
      <c r="K38" s="8" t="s">
        <v>55</v>
      </c>
      <c r="L38" s="8" t="s">
        <v>19</v>
      </c>
    </row>
    <row r="39" spans="1:12">
      <c r="A39">
        <v>1038</v>
      </c>
      <c r="B39" s="5" t="s">
        <v>25</v>
      </c>
      <c r="C39" s="6" t="s">
        <v>26</v>
      </c>
      <c r="D39" s="6">
        <v>35</v>
      </c>
      <c r="E39" s="6" t="s">
        <v>47</v>
      </c>
      <c r="F39" s="6" t="s">
        <v>69</v>
      </c>
      <c r="G39" s="6">
        <v>119611</v>
      </c>
      <c r="H39" s="6">
        <v>6</v>
      </c>
      <c r="I39" s="6" t="s">
        <v>97</v>
      </c>
      <c r="J39" s="6" t="s">
        <v>46</v>
      </c>
      <c r="K39" s="6" t="s">
        <v>18</v>
      </c>
      <c r="L39" s="6" t="s">
        <v>24</v>
      </c>
    </row>
    <row r="40" spans="1:12">
      <c r="A40">
        <v>1039</v>
      </c>
      <c r="B40" s="7" t="s">
        <v>53</v>
      </c>
      <c r="C40" s="8" t="s">
        <v>13</v>
      </c>
      <c r="D40" s="8">
        <v>26</v>
      </c>
      <c r="E40" s="8" t="s">
        <v>64</v>
      </c>
      <c r="F40" s="8" t="s">
        <v>65</v>
      </c>
      <c r="G40" s="8">
        <v>104413</v>
      </c>
      <c r="H40" s="8">
        <v>2</v>
      </c>
      <c r="I40" s="8" t="s">
        <v>98</v>
      </c>
      <c r="J40" s="8" t="s">
        <v>46</v>
      </c>
      <c r="K40" s="8" t="s">
        <v>18</v>
      </c>
      <c r="L40" s="8" t="s">
        <v>52</v>
      </c>
    </row>
    <row r="41" spans="1:12">
      <c r="A41">
        <v>1040</v>
      </c>
      <c r="B41" s="5" t="s">
        <v>87</v>
      </c>
      <c r="C41" s="6" t="s">
        <v>26</v>
      </c>
      <c r="D41" s="6">
        <v>41</v>
      </c>
      <c r="E41" s="6" t="s">
        <v>47</v>
      </c>
      <c r="F41" s="6" t="s">
        <v>48</v>
      </c>
      <c r="G41" s="6">
        <v>55038</v>
      </c>
      <c r="H41" s="6">
        <v>14</v>
      </c>
      <c r="I41" s="6" t="s">
        <v>99</v>
      </c>
      <c r="J41" s="6" t="s">
        <v>17</v>
      </c>
      <c r="K41" s="6" t="s">
        <v>18</v>
      </c>
      <c r="L41" s="6" t="s">
        <v>24</v>
      </c>
    </row>
    <row r="42" spans="1:12">
      <c r="A42">
        <v>1041</v>
      </c>
      <c r="B42" s="7" t="s">
        <v>100</v>
      </c>
      <c r="C42" s="8" t="s">
        <v>26</v>
      </c>
      <c r="D42" s="8">
        <v>35</v>
      </c>
      <c r="E42" s="8" t="s">
        <v>64</v>
      </c>
      <c r="F42" s="8" t="s">
        <v>65</v>
      </c>
      <c r="G42" s="8">
        <v>90580</v>
      </c>
      <c r="H42" s="8">
        <v>9</v>
      </c>
      <c r="I42" s="8" t="s">
        <v>101</v>
      </c>
      <c r="J42" s="8" t="s">
        <v>50</v>
      </c>
      <c r="K42" s="8" t="s">
        <v>18</v>
      </c>
      <c r="L42" s="8" t="s">
        <v>19</v>
      </c>
    </row>
    <row r="43" spans="1:12">
      <c r="A43">
        <v>1042</v>
      </c>
      <c r="B43" s="5" t="s">
        <v>73</v>
      </c>
      <c r="C43" s="6" t="s">
        <v>13</v>
      </c>
      <c r="D43" s="6">
        <v>26</v>
      </c>
      <c r="E43" s="6" t="s">
        <v>14</v>
      </c>
      <c r="F43" s="6" t="s">
        <v>15</v>
      </c>
      <c r="G43" s="6">
        <v>73156</v>
      </c>
      <c r="H43" s="6">
        <v>3</v>
      </c>
      <c r="I43" s="6" t="s">
        <v>102</v>
      </c>
      <c r="J43" s="6" t="s">
        <v>17</v>
      </c>
      <c r="K43" s="6" t="s">
        <v>18</v>
      </c>
      <c r="L43" s="6" t="s">
        <v>24</v>
      </c>
    </row>
    <row r="44" spans="1:12">
      <c r="A44">
        <v>1043</v>
      </c>
      <c r="B44" s="7" t="s">
        <v>60</v>
      </c>
      <c r="C44" s="8" t="s">
        <v>13</v>
      </c>
      <c r="D44" s="8">
        <v>41</v>
      </c>
      <c r="E44" s="8" t="s">
        <v>35</v>
      </c>
      <c r="F44" s="8" t="s">
        <v>103</v>
      </c>
      <c r="G44" s="8">
        <v>109734</v>
      </c>
      <c r="H44" s="8">
        <v>12</v>
      </c>
      <c r="I44" s="8" t="s">
        <v>104</v>
      </c>
      <c r="J44" s="8" t="s">
        <v>23</v>
      </c>
      <c r="K44" s="8" t="s">
        <v>18</v>
      </c>
      <c r="L44" s="8" t="s">
        <v>19</v>
      </c>
    </row>
    <row r="45" spans="1:12">
      <c r="A45">
        <v>1044</v>
      </c>
      <c r="B45" s="5" t="s">
        <v>53</v>
      </c>
      <c r="C45" s="6" t="s">
        <v>26</v>
      </c>
      <c r="D45" s="6">
        <v>26</v>
      </c>
      <c r="E45" s="6" t="s">
        <v>27</v>
      </c>
      <c r="F45" s="6" t="s">
        <v>38</v>
      </c>
      <c r="G45" s="6">
        <v>79749</v>
      </c>
      <c r="H45" s="6">
        <v>1</v>
      </c>
      <c r="I45" s="6" t="s">
        <v>105</v>
      </c>
      <c r="J45" s="6" t="s">
        <v>46</v>
      </c>
      <c r="K45" s="6" t="s">
        <v>18</v>
      </c>
      <c r="L45" s="6" t="s">
        <v>68</v>
      </c>
    </row>
    <row r="46" spans="1:12">
      <c r="A46">
        <v>1045</v>
      </c>
      <c r="B46" s="7" t="s">
        <v>12</v>
      </c>
      <c r="C46" s="8" t="s">
        <v>26</v>
      </c>
      <c r="D46" s="8">
        <v>31</v>
      </c>
      <c r="E46" s="8" t="s">
        <v>64</v>
      </c>
      <c r="F46" s="8" t="s">
        <v>65</v>
      </c>
      <c r="G46" s="8">
        <v>66459</v>
      </c>
      <c r="H46" s="8">
        <v>10</v>
      </c>
      <c r="I46" s="8" t="s">
        <v>106</v>
      </c>
      <c r="J46" s="8" t="s">
        <v>46</v>
      </c>
      <c r="K46" s="8" t="s">
        <v>55</v>
      </c>
      <c r="L46" s="8" t="s">
        <v>32</v>
      </c>
    </row>
    <row r="47" spans="1:12">
      <c r="A47">
        <v>1046</v>
      </c>
      <c r="B47" s="5" t="s">
        <v>78</v>
      </c>
      <c r="C47" s="6" t="s">
        <v>13</v>
      </c>
      <c r="D47" s="6">
        <v>24</v>
      </c>
      <c r="E47" s="6" t="s">
        <v>47</v>
      </c>
      <c r="F47" s="6" t="s">
        <v>48</v>
      </c>
      <c r="G47" s="6">
        <v>94987</v>
      </c>
      <c r="H47" s="6">
        <v>4</v>
      </c>
      <c r="I47" s="6" t="s">
        <v>107</v>
      </c>
      <c r="J47" s="6" t="s">
        <v>50</v>
      </c>
      <c r="K47" s="6" t="s">
        <v>18</v>
      </c>
      <c r="L47" s="6" t="s">
        <v>59</v>
      </c>
    </row>
    <row r="48" spans="1:12">
      <c r="A48">
        <v>1047</v>
      </c>
      <c r="B48" s="7" t="s">
        <v>73</v>
      </c>
      <c r="C48" s="8" t="s">
        <v>13</v>
      </c>
      <c r="D48" s="8">
        <v>40</v>
      </c>
      <c r="E48" s="8" t="s">
        <v>35</v>
      </c>
      <c r="F48" s="8" t="s">
        <v>36</v>
      </c>
      <c r="G48" s="8">
        <v>118164</v>
      </c>
      <c r="H48" s="8">
        <v>10</v>
      </c>
      <c r="I48" s="8" t="s">
        <v>108</v>
      </c>
      <c r="J48" s="8" t="s">
        <v>23</v>
      </c>
      <c r="K48" s="8" t="s">
        <v>18</v>
      </c>
      <c r="L48" s="8" t="s">
        <v>24</v>
      </c>
    </row>
    <row r="49" spans="1:12">
      <c r="A49">
        <v>1048</v>
      </c>
      <c r="B49" s="5" t="s">
        <v>92</v>
      </c>
      <c r="C49" s="6" t="s">
        <v>26</v>
      </c>
      <c r="D49" s="6">
        <v>32</v>
      </c>
      <c r="E49" s="6" t="s">
        <v>43</v>
      </c>
      <c r="F49" s="6" t="s">
        <v>44</v>
      </c>
      <c r="G49" s="6">
        <v>79972</v>
      </c>
      <c r="H49" s="6">
        <v>8</v>
      </c>
      <c r="I49" s="6" t="s">
        <v>109</v>
      </c>
      <c r="J49" s="6" t="s">
        <v>50</v>
      </c>
      <c r="K49" s="6" t="s">
        <v>18</v>
      </c>
      <c r="L49" s="6" t="s">
        <v>68</v>
      </c>
    </row>
    <row r="50" spans="1:12">
      <c r="A50">
        <v>1049</v>
      </c>
      <c r="B50" s="7" t="s">
        <v>71</v>
      </c>
      <c r="C50" s="8" t="s">
        <v>13</v>
      </c>
      <c r="D50" s="8">
        <v>33</v>
      </c>
      <c r="E50" s="8" t="s">
        <v>43</v>
      </c>
      <c r="F50" s="8" t="s">
        <v>44</v>
      </c>
      <c r="G50" s="8">
        <v>43197</v>
      </c>
      <c r="H50" s="8">
        <v>5</v>
      </c>
      <c r="I50" s="8" t="s">
        <v>110</v>
      </c>
      <c r="J50" s="8" t="s">
        <v>17</v>
      </c>
      <c r="K50" s="8" t="s">
        <v>55</v>
      </c>
      <c r="L50" s="8" t="s">
        <v>24</v>
      </c>
    </row>
    <row r="51" spans="1:12">
      <c r="A51">
        <v>1050</v>
      </c>
      <c r="B51" s="5" t="s">
        <v>111</v>
      </c>
      <c r="C51" s="6" t="s">
        <v>26</v>
      </c>
      <c r="D51" s="6">
        <v>39</v>
      </c>
      <c r="E51" s="6" t="s">
        <v>47</v>
      </c>
      <c r="F51" s="6" t="s">
        <v>48</v>
      </c>
      <c r="G51" s="6">
        <v>104315</v>
      </c>
      <c r="H51" s="6">
        <v>12</v>
      </c>
      <c r="I51" s="6" t="s">
        <v>112</v>
      </c>
      <c r="J51" s="6" t="s">
        <v>17</v>
      </c>
      <c r="K51" s="6" t="s">
        <v>18</v>
      </c>
      <c r="L51" s="6" t="s">
        <v>52</v>
      </c>
    </row>
    <row r="52" spans="1:12">
      <c r="A52">
        <v>1051</v>
      </c>
      <c r="B52" s="7" t="s">
        <v>78</v>
      </c>
      <c r="C52" s="8" t="s">
        <v>26</v>
      </c>
      <c r="D52" s="8">
        <v>34</v>
      </c>
      <c r="E52" s="8" t="s">
        <v>27</v>
      </c>
      <c r="F52" s="8" t="s">
        <v>61</v>
      </c>
      <c r="G52" s="8">
        <v>91455</v>
      </c>
      <c r="H52" s="8">
        <v>12</v>
      </c>
      <c r="I52" s="8" t="s">
        <v>113</v>
      </c>
      <c r="J52" s="8" t="s">
        <v>50</v>
      </c>
      <c r="K52" s="8" t="s">
        <v>18</v>
      </c>
      <c r="L52" s="8" t="s">
        <v>19</v>
      </c>
    </row>
    <row r="53" spans="1:12">
      <c r="A53">
        <v>1052</v>
      </c>
      <c r="B53" s="5" t="s">
        <v>60</v>
      </c>
      <c r="C53" s="6" t="s">
        <v>26</v>
      </c>
      <c r="D53" s="6">
        <v>24</v>
      </c>
      <c r="E53" s="6" t="s">
        <v>43</v>
      </c>
      <c r="F53" s="6" t="s">
        <v>44</v>
      </c>
      <c r="G53" s="6">
        <v>115463</v>
      </c>
      <c r="H53" s="6">
        <v>0</v>
      </c>
      <c r="I53" s="6" t="s">
        <v>114</v>
      </c>
      <c r="J53" s="6" t="s">
        <v>23</v>
      </c>
      <c r="K53" s="6" t="s">
        <v>18</v>
      </c>
      <c r="L53" s="6" t="s">
        <v>19</v>
      </c>
    </row>
    <row r="54" spans="1:12">
      <c r="A54">
        <v>1053</v>
      </c>
      <c r="B54" s="7" t="s">
        <v>85</v>
      </c>
      <c r="C54" s="8" t="s">
        <v>13</v>
      </c>
      <c r="D54" s="8">
        <v>22</v>
      </c>
      <c r="E54" s="8" t="s">
        <v>43</v>
      </c>
      <c r="F54" s="8" t="s">
        <v>44</v>
      </c>
      <c r="G54" s="8">
        <v>59089</v>
      </c>
      <c r="H54" s="8">
        <v>1</v>
      </c>
      <c r="I54" s="8" t="s">
        <v>115</v>
      </c>
      <c r="J54" s="8" t="s">
        <v>46</v>
      </c>
      <c r="K54" s="8" t="s">
        <v>55</v>
      </c>
      <c r="L54" s="8" t="s">
        <v>68</v>
      </c>
    </row>
    <row r="55" spans="1:12">
      <c r="A55">
        <v>1054</v>
      </c>
      <c r="B55" s="5" t="s">
        <v>78</v>
      </c>
      <c r="C55" s="6" t="s">
        <v>13</v>
      </c>
      <c r="D55" s="6">
        <v>34</v>
      </c>
      <c r="E55" s="6" t="s">
        <v>43</v>
      </c>
      <c r="F55" s="6" t="s">
        <v>88</v>
      </c>
      <c r="G55" s="6">
        <v>92906</v>
      </c>
      <c r="H55" s="6">
        <v>13</v>
      </c>
      <c r="I55" s="6" t="s">
        <v>116</v>
      </c>
      <c r="J55" s="6" t="s">
        <v>50</v>
      </c>
      <c r="K55" s="6" t="s">
        <v>18</v>
      </c>
      <c r="L55" s="6" t="s">
        <v>32</v>
      </c>
    </row>
    <row r="56" spans="1:12">
      <c r="A56">
        <v>1055</v>
      </c>
      <c r="B56" s="7" t="s">
        <v>53</v>
      </c>
      <c r="C56" s="8" t="s">
        <v>13</v>
      </c>
      <c r="D56" s="8">
        <v>42</v>
      </c>
      <c r="E56" s="8" t="s">
        <v>43</v>
      </c>
      <c r="F56" s="8" t="s">
        <v>88</v>
      </c>
      <c r="G56" s="8">
        <v>102346</v>
      </c>
      <c r="H56" s="8">
        <v>15</v>
      </c>
      <c r="I56" s="8" t="s">
        <v>117</v>
      </c>
      <c r="J56" s="8" t="s">
        <v>17</v>
      </c>
      <c r="K56" s="8" t="s">
        <v>55</v>
      </c>
      <c r="L56" s="8" t="s">
        <v>59</v>
      </c>
    </row>
    <row r="57" spans="1:12">
      <c r="A57">
        <v>1056</v>
      </c>
      <c r="B57" s="5" t="s">
        <v>12</v>
      </c>
      <c r="C57" s="6" t="s">
        <v>13</v>
      </c>
      <c r="D57" s="6">
        <v>32</v>
      </c>
      <c r="E57" s="6" t="s">
        <v>27</v>
      </c>
      <c r="F57" s="6" t="s">
        <v>38</v>
      </c>
      <c r="G57" s="6">
        <v>108243</v>
      </c>
      <c r="H57" s="6">
        <v>2</v>
      </c>
      <c r="I57" s="6" t="s">
        <v>118</v>
      </c>
      <c r="J57" s="6" t="s">
        <v>17</v>
      </c>
      <c r="K57" s="6" t="s">
        <v>18</v>
      </c>
      <c r="L57" s="6" t="s">
        <v>32</v>
      </c>
    </row>
    <row r="58" spans="1:12">
      <c r="A58">
        <v>1057</v>
      </c>
      <c r="B58" s="7" t="s">
        <v>20</v>
      </c>
      <c r="C58" s="8" t="s">
        <v>13</v>
      </c>
      <c r="D58" s="8">
        <v>34</v>
      </c>
      <c r="E58" s="8" t="s">
        <v>64</v>
      </c>
      <c r="F58" s="8" t="s">
        <v>65</v>
      </c>
      <c r="G58" s="8">
        <v>108198</v>
      </c>
      <c r="H58" s="8">
        <v>14</v>
      </c>
      <c r="I58" s="8" t="s">
        <v>119</v>
      </c>
      <c r="J58" s="8" t="s">
        <v>50</v>
      </c>
      <c r="K58" s="8" t="s">
        <v>55</v>
      </c>
      <c r="L58" s="8" t="s">
        <v>24</v>
      </c>
    </row>
    <row r="59" spans="1:12">
      <c r="A59">
        <v>1058</v>
      </c>
      <c r="B59" s="5" t="s">
        <v>92</v>
      </c>
      <c r="C59" s="6" t="s">
        <v>13</v>
      </c>
      <c r="D59" s="6">
        <v>21</v>
      </c>
      <c r="E59" s="6" t="s">
        <v>47</v>
      </c>
      <c r="F59" s="6" t="s">
        <v>69</v>
      </c>
      <c r="G59" s="6">
        <v>110999</v>
      </c>
      <c r="H59" s="6">
        <v>0</v>
      </c>
      <c r="I59" s="6" t="s">
        <v>120</v>
      </c>
      <c r="J59" s="6" t="s">
        <v>50</v>
      </c>
      <c r="K59" s="6" t="s">
        <v>18</v>
      </c>
      <c r="L59" s="6" t="s">
        <v>59</v>
      </c>
    </row>
    <row r="60" spans="1:12">
      <c r="A60">
        <v>1059</v>
      </c>
      <c r="B60" s="7" t="s">
        <v>87</v>
      </c>
      <c r="C60" s="8" t="s">
        <v>13</v>
      </c>
      <c r="D60" s="8">
        <v>29</v>
      </c>
      <c r="E60" s="8" t="s">
        <v>14</v>
      </c>
      <c r="F60" s="8" t="s">
        <v>15</v>
      </c>
      <c r="G60" s="8">
        <v>74002</v>
      </c>
      <c r="H60" s="8">
        <v>6</v>
      </c>
      <c r="I60" s="8" t="s">
        <v>121</v>
      </c>
      <c r="J60" s="8" t="s">
        <v>50</v>
      </c>
      <c r="K60" s="8" t="s">
        <v>18</v>
      </c>
      <c r="L60" s="8" t="s">
        <v>59</v>
      </c>
    </row>
    <row r="61" spans="1:12">
      <c r="A61">
        <v>1060</v>
      </c>
      <c r="B61" s="5" t="s">
        <v>87</v>
      </c>
      <c r="C61" s="6" t="s">
        <v>13</v>
      </c>
      <c r="D61" s="6">
        <v>25</v>
      </c>
      <c r="E61" s="6" t="s">
        <v>47</v>
      </c>
      <c r="F61" s="6" t="s">
        <v>48</v>
      </c>
      <c r="G61" s="6">
        <v>63608</v>
      </c>
      <c r="H61" s="6">
        <v>5</v>
      </c>
      <c r="I61" s="6" t="s">
        <v>122</v>
      </c>
      <c r="J61" s="6" t="s">
        <v>17</v>
      </c>
      <c r="K61" s="6" t="s">
        <v>18</v>
      </c>
      <c r="L61" s="6" t="s">
        <v>19</v>
      </c>
    </row>
    <row r="62" spans="1:12">
      <c r="A62">
        <v>1061</v>
      </c>
      <c r="B62" s="7" t="s">
        <v>25</v>
      </c>
      <c r="C62" s="8" t="s">
        <v>13</v>
      </c>
      <c r="D62" s="8">
        <v>39</v>
      </c>
      <c r="E62" s="8" t="s">
        <v>47</v>
      </c>
      <c r="F62" s="8" t="s">
        <v>69</v>
      </c>
      <c r="G62" s="8">
        <v>39817</v>
      </c>
      <c r="H62" s="8">
        <v>9</v>
      </c>
      <c r="I62" s="8" t="s">
        <v>123</v>
      </c>
      <c r="J62" s="8" t="s">
        <v>23</v>
      </c>
      <c r="K62" s="8" t="s">
        <v>18</v>
      </c>
      <c r="L62" s="8" t="s">
        <v>32</v>
      </c>
    </row>
    <row r="63" spans="1:12">
      <c r="A63">
        <v>1062</v>
      </c>
      <c r="B63" s="5" t="s">
        <v>20</v>
      </c>
      <c r="C63" s="6" t="s">
        <v>13</v>
      </c>
      <c r="D63" s="6">
        <v>34</v>
      </c>
      <c r="E63" s="6" t="s">
        <v>43</v>
      </c>
      <c r="F63" s="6" t="s">
        <v>88</v>
      </c>
      <c r="G63" s="6">
        <v>78105</v>
      </c>
      <c r="H63" s="6">
        <v>11</v>
      </c>
      <c r="I63" s="6" t="s">
        <v>124</v>
      </c>
      <c r="J63" s="6" t="s">
        <v>17</v>
      </c>
      <c r="K63" s="6" t="s">
        <v>55</v>
      </c>
      <c r="L63" s="6" t="s">
        <v>68</v>
      </c>
    </row>
    <row r="64" spans="1:12">
      <c r="A64">
        <v>1063</v>
      </c>
      <c r="B64" s="7" t="s">
        <v>53</v>
      </c>
      <c r="C64" s="8" t="s">
        <v>26</v>
      </c>
      <c r="D64" s="8">
        <v>32</v>
      </c>
      <c r="E64" s="8" t="s">
        <v>64</v>
      </c>
      <c r="F64" s="8" t="s">
        <v>65</v>
      </c>
      <c r="G64" s="8">
        <v>37620</v>
      </c>
      <c r="H64" s="8">
        <v>11</v>
      </c>
      <c r="I64" s="8" t="s">
        <v>125</v>
      </c>
      <c r="J64" s="8" t="s">
        <v>46</v>
      </c>
      <c r="K64" s="8" t="s">
        <v>18</v>
      </c>
      <c r="L64" s="8" t="s">
        <v>32</v>
      </c>
    </row>
    <row r="65" spans="1:12">
      <c r="A65">
        <v>1064</v>
      </c>
      <c r="B65" s="5" t="s">
        <v>30</v>
      </c>
      <c r="C65" s="6" t="s">
        <v>13</v>
      </c>
      <c r="D65" s="6">
        <v>38</v>
      </c>
      <c r="E65" s="6" t="s">
        <v>14</v>
      </c>
      <c r="F65" s="6" t="s">
        <v>15</v>
      </c>
      <c r="G65" s="6">
        <v>77524</v>
      </c>
      <c r="H65" s="6">
        <v>12</v>
      </c>
      <c r="I65" s="6" t="s">
        <v>126</v>
      </c>
      <c r="J65" s="6" t="s">
        <v>50</v>
      </c>
      <c r="K65" s="6" t="s">
        <v>55</v>
      </c>
      <c r="L65" s="6" t="s">
        <v>59</v>
      </c>
    </row>
    <row r="66" spans="1:12">
      <c r="A66">
        <v>1065</v>
      </c>
      <c r="B66" s="7" t="s">
        <v>60</v>
      </c>
      <c r="C66" s="8" t="s">
        <v>13</v>
      </c>
      <c r="D66" s="8">
        <v>23</v>
      </c>
      <c r="E66" s="8" t="s">
        <v>64</v>
      </c>
      <c r="F66" s="8" t="s">
        <v>82</v>
      </c>
      <c r="G66" s="8">
        <v>80562</v>
      </c>
      <c r="H66" s="8">
        <v>3</v>
      </c>
      <c r="I66" s="8" t="s">
        <v>127</v>
      </c>
      <c r="J66" s="8" t="s">
        <v>50</v>
      </c>
      <c r="K66" s="8" t="s">
        <v>55</v>
      </c>
      <c r="L66" s="8" t="s">
        <v>52</v>
      </c>
    </row>
    <row r="67" spans="1:12">
      <c r="A67">
        <v>1066</v>
      </c>
      <c r="B67" s="5" t="s">
        <v>63</v>
      </c>
      <c r="C67" s="6" t="s">
        <v>13</v>
      </c>
      <c r="D67" s="6">
        <v>27</v>
      </c>
      <c r="E67" s="6" t="s">
        <v>14</v>
      </c>
      <c r="F67" s="6" t="s">
        <v>21</v>
      </c>
      <c r="G67" s="6">
        <v>107470</v>
      </c>
      <c r="H67" s="6">
        <v>5</v>
      </c>
      <c r="I67" s="6" t="s">
        <v>128</v>
      </c>
      <c r="J67" s="6" t="s">
        <v>23</v>
      </c>
      <c r="K67" s="6" t="s">
        <v>18</v>
      </c>
      <c r="L67" s="6" t="s">
        <v>68</v>
      </c>
    </row>
    <row r="68" spans="1:12">
      <c r="A68">
        <v>1067</v>
      </c>
      <c r="B68" s="7" t="s">
        <v>60</v>
      </c>
      <c r="C68" s="8" t="s">
        <v>13</v>
      </c>
      <c r="D68" s="8">
        <v>28</v>
      </c>
      <c r="E68" s="8" t="s">
        <v>35</v>
      </c>
      <c r="F68" s="8" t="s">
        <v>103</v>
      </c>
      <c r="G68" s="8">
        <v>71211</v>
      </c>
      <c r="H68" s="8">
        <v>3</v>
      </c>
      <c r="I68" s="8" t="s">
        <v>97</v>
      </c>
      <c r="J68" s="8" t="s">
        <v>17</v>
      </c>
      <c r="K68" s="8" t="s">
        <v>18</v>
      </c>
      <c r="L68" s="8" t="s">
        <v>59</v>
      </c>
    </row>
    <row r="69" spans="1:12">
      <c r="A69">
        <v>1068</v>
      </c>
      <c r="B69" s="5" t="s">
        <v>33</v>
      </c>
      <c r="C69" s="6" t="s">
        <v>26</v>
      </c>
      <c r="D69" s="6">
        <v>27</v>
      </c>
      <c r="E69" s="6" t="s">
        <v>35</v>
      </c>
      <c r="F69" s="6" t="s">
        <v>103</v>
      </c>
      <c r="G69" s="6">
        <v>52604</v>
      </c>
      <c r="H69" s="6">
        <v>7</v>
      </c>
      <c r="I69" s="6" t="s">
        <v>129</v>
      </c>
      <c r="J69" s="6" t="s">
        <v>23</v>
      </c>
      <c r="K69" s="6" t="s">
        <v>55</v>
      </c>
      <c r="L69" s="6" t="s">
        <v>52</v>
      </c>
    </row>
    <row r="70" spans="1:12">
      <c r="A70">
        <v>1069</v>
      </c>
      <c r="B70" s="7" t="s">
        <v>30</v>
      </c>
      <c r="C70" s="8" t="s">
        <v>26</v>
      </c>
      <c r="D70" s="8">
        <v>34</v>
      </c>
      <c r="E70" s="8" t="s">
        <v>47</v>
      </c>
      <c r="F70" s="8" t="s">
        <v>48</v>
      </c>
      <c r="G70" s="8">
        <v>93333</v>
      </c>
      <c r="H70" s="8">
        <v>11</v>
      </c>
      <c r="I70" s="8" t="s">
        <v>130</v>
      </c>
      <c r="J70" s="8" t="s">
        <v>50</v>
      </c>
      <c r="K70" s="8" t="s">
        <v>18</v>
      </c>
      <c r="L70" s="8" t="s">
        <v>68</v>
      </c>
    </row>
    <row r="71" spans="1:12">
      <c r="A71">
        <v>1070</v>
      </c>
      <c r="B71" s="5" t="s">
        <v>92</v>
      </c>
      <c r="C71" s="6" t="s">
        <v>13</v>
      </c>
      <c r="D71" s="6">
        <v>24</v>
      </c>
      <c r="E71" s="6" t="s">
        <v>35</v>
      </c>
      <c r="F71" s="6" t="s">
        <v>36</v>
      </c>
      <c r="G71" s="6">
        <v>52701</v>
      </c>
      <c r="H71" s="6">
        <v>0</v>
      </c>
      <c r="I71" s="6" t="s">
        <v>131</v>
      </c>
      <c r="J71" s="6" t="s">
        <v>46</v>
      </c>
      <c r="K71" s="6" t="s">
        <v>18</v>
      </c>
      <c r="L71" s="6" t="s">
        <v>52</v>
      </c>
    </row>
    <row r="72" spans="1:12">
      <c r="A72">
        <v>1071</v>
      </c>
      <c r="B72" s="7" t="s">
        <v>30</v>
      </c>
      <c r="C72" s="8" t="s">
        <v>26</v>
      </c>
      <c r="D72" s="8">
        <v>38</v>
      </c>
      <c r="E72" s="8" t="s">
        <v>14</v>
      </c>
      <c r="F72" s="8" t="s">
        <v>15</v>
      </c>
      <c r="G72" s="8">
        <v>81627</v>
      </c>
      <c r="H72" s="8">
        <v>15</v>
      </c>
      <c r="I72" s="8" t="s">
        <v>132</v>
      </c>
      <c r="J72" s="8" t="s">
        <v>23</v>
      </c>
      <c r="K72" s="8" t="s">
        <v>55</v>
      </c>
      <c r="L72" s="8" t="s">
        <v>68</v>
      </c>
    </row>
    <row r="73" spans="1:12">
      <c r="A73">
        <v>1072</v>
      </c>
      <c r="B73" s="5" t="s">
        <v>33</v>
      </c>
      <c r="C73" s="6" t="s">
        <v>26</v>
      </c>
      <c r="D73" s="6">
        <v>33</v>
      </c>
      <c r="E73" s="6" t="s">
        <v>47</v>
      </c>
      <c r="F73" s="6" t="s">
        <v>48</v>
      </c>
      <c r="G73" s="6">
        <v>93634</v>
      </c>
      <c r="H73" s="6">
        <v>6</v>
      </c>
      <c r="I73" s="6" t="s">
        <v>133</v>
      </c>
      <c r="J73" s="6" t="s">
        <v>23</v>
      </c>
      <c r="K73" s="6" t="s">
        <v>55</v>
      </c>
      <c r="L73" s="6" t="s">
        <v>24</v>
      </c>
    </row>
    <row r="74" spans="1:12">
      <c r="A74">
        <v>1073</v>
      </c>
      <c r="B74" s="7" t="s">
        <v>25</v>
      </c>
      <c r="C74" s="8" t="s">
        <v>26</v>
      </c>
      <c r="D74" s="8">
        <v>27</v>
      </c>
      <c r="E74" s="8" t="s">
        <v>64</v>
      </c>
      <c r="F74" s="8" t="s">
        <v>82</v>
      </c>
      <c r="G74" s="8">
        <v>83527</v>
      </c>
      <c r="H74" s="8">
        <v>2</v>
      </c>
      <c r="I74" s="8" t="s">
        <v>134</v>
      </c>
      <c r="J74" s="8" t="s">
        <v>17</v>
      </c>
      <c r="K74" s="8" t="s">
        <v>18</v>
      </c>
      <c r="L74" s="8" t="s">
        <v>59</v>
      </c>
    </row>
    <row r="75" spans="1:12">
      <c r="A75">
        <v>1074</v>
      </c>
      <c r="B75" s="5" t="s">
        <v>40</v>
      </c>
      <c r="C75" s="6" t="s">
        <v>26</v>
      </c>
      <c r="D75" s="6">
        <v>26</v>
      </c>
      <c r="E75" s="6" t="s">
        <v>47</v>
      </c>
      <c r="F75" s="6" t="s">
        <v>48</v>
      </c>
      <c r="G75" s="6">
        <v>103896</v>
      </c>
      <c r="H75" s="6">
        <v>1</v>
      </c>
      <c r="I75" s="6" t="s">
        <v>135</v>
      </c>
      <c r="J75" s="6" t="s">
        <v>17</v>
      </c>
      <c r="K75" s="6" t="s">
        <v>18</v>
      </c>
      <c r="L75" s="6" t="s">
        <v>68</v>
      </c>
    </row>
    <row r="76" spans="1:12">
      <c r="A76">
        <v>1075</v>
      </c>
      <c r="B76" s="7" t="s">
        <v>25</v>
      </c>
      <c r="C76" s="8" t="s">
        <v>26</v>
      </c>
      <c r="D76" s="8">
        <v>33</v>
      </c>
      <c r="E76" s="8" t="s">
        <v>43</v>
      </c>
      <c r="F76" s="8" t="s">
        <v>88</v>
      </c>
      <c r="G76" s="8">
        <v>60177</v>
      </c>
      <c r="H76" s="8">
        <v>6</v>
      </c>
      <c r="I76" s="8" t="s">
        <v>136</v>
      </c>
      <c r="J76" s="8" t="s">
        <v>46</v>
      </c>
      <c r="K76" s="8" t="s">
        <v>18</v>
      </c>
      <c r="L76" s="8" t="s">
        <v>24</v>
      </c>
    </row>
    <row r="77" spans="1:12">
      <c r="A77">
        <v>1076</v>
      </c>
      <c r="B77" s="5" t="s">
        <v>92</v>
      </c>
      <c r="C77" s="6" t="s">
        <v>26</v>
      </c>
      <c r="D77" s="6">
        <v>37</v>
      </c>
      <c r="E77" s="6" t="s">
        <v>35</v>
      </c>
      <c r="F77" s="6" t="s">
        <v>36</v>
      </c>
      <c r="G77" s="6">
        <v>110833</v>
      </c>
      <c r="H77" s="6">
        <v>14</v>
      </c>
      <c r="I77" s="6" t="s">
        <v>137</v>
      </c>
      <c r="J77" s="6" t="s">
        <v>46</v>
      </c>
      <c r="K77" s="6" t="s">
        <v>18</v>
      </c>
      <c r="L77" s="6" t="s">
        <v>59</v>
      </c>
    </row>
    <row r="78" spans="1:12">
      <c r="A78">
        <v>1077</v>
      </c>
      <c r="B78" s="7" t="s">
        <v>85</v>
      </c>
      <c r="C78" s="8" t="s">
        <v>26</v>
      </c>
      <c r="D78" s="8">
        <v>30</v>
      </c>
      <c r="E78" s="8" t="s">
        <v>43</v>
      </c>
      <c r="F78" s="8" t="s">
        <v>88</v>
      </c>
      <c r="G78" s="8">
        <v>43805</v>
      </c>
      <c r="H78" s="8">
        <v>7</v>
      </c>
      <c r="I78" s="8" t="s">
        <v>138</v>
      </c>
      <c r="J78" s="8" t="s">
        <v>50</v>
      </c>
      <c r="K78" s="8" t="s">
        <v>18</v>
      </c>
      <c r="L78" s="8" t="s">
        <v>19</v>
      </c>
    </row>
    <row r="79" spans="1:12">
      <c r="A79">
        <v>1078</v>
      </c>
      <c r="B79" s="5" t="s">
        <v>33</v>
      </c>
      <c r="C79" s="6" t="s">
        <v>13</v>
      </c>
      <c r="D79" s="6">
        <v>23</v>
      </c>
      <c r="E79" s="6" t="s">
        <v>64</v>
      </c>
      <c r="F79" s="6" t="s">
        <v>82</v>
      </c>
      <c r="G79" s="6">
        <v>109534</v>
      </c>
      <c r="H79" s="6">
        <v>1</v>
      </c>
      <c r="I79" s="6" t="s">
        <v>139</v>
      </c>
      <c r="J79" s="6" t="s">
        <v>50</v>
      </c>
      <c r="K79" s="6" t="s">
        <v>55</v>
      </c>
      <c r="L79" s="6" t="s">
        <v>19</v>
      </c>
    </row>
    <row r="80" spans="1:12">
      <c r="A80">
        <v>1079</v>
      </c>
      <c r="B80" s="7" t="s">
        <v>63</v>
      </c>
      <c r="C80" s="8" t="s">
        <v>26</v>
      </c>
      <c r="D80" s="8">
        <v>31</v>
      </c>
      <c r="E80" s="8" t="s">
        <v>35</v>
      </c>
      <c r="F80" s="8" t="s">
        <v>36</v>
      </c>
      <c r="G80" s="8">
        <v>88156</v>
      </c>
      <c r="H80" s="8">
        <v>3</v>
      </c>
      <c r="I80" s="8" t="s">
        <v>140</v>
      </c>
      <c r="J80" s="8" t="s">
        <v>23</v>
      </c>
      <c r="K80" s="8" t="s">
        <v>18</v>
      </c>
      <c r="L80" s="8" t="s">
        <v>19</v>
      </c>
    </row>
    <row r="81" spans="1:12">
      <c r="A81">
        <v>1080</v>
      </c>
      <c r="B81" s="5" t="s">
        <v>20</v>
      </c>
      <c r="C81" s="6" t="s">
        <v>26</v>
      </c>
      <c r="D81" s="6">
        <v>30</v>
      </c>
      <c r="E81" s="6" t="s">
        <v>14</v>
      </c>
      <c r="F81" s="6" t="s">
        <v>15</v>
      </c>
      <c r="G81" s="6">
        <v>52021</v>
      </c>
      <c r="H81" s="6">
        <v>4</v>
      </c>
      <c r="I81" s="6" t="s">
        <v>141</v>
      </c>
      <c r="J81" s="6" t="s">
        <v>50</v>
      </c>
      <c r="K81" s="6" t="s">
        <v>18</v>
      </c>
      <c r="L81" s="6" t="s">
        <v>32</v>
      </c>
    </row>
    <row r="82" spans="1:12">
      <c r="A82">
        <v>1081</v>
      </c>
      <c r="B82" s="7" t="s">
        <v>30</v>
      </c>
      <c r="C82" s="8" t="s">
        <v>26</v>
      </c>
      <c r="D82" s="8">
        <v>23</v>
      </c>
      <c r="E82" s="8" t="s">
        <v>43</v>
      </c>
      <c r="F82" s="8" t="s">
        <v>88</v>
      </c>
      <c r="G82" s="8">
        <v>70604</v>
      </c>
      <c r="H82" s="8">
        <v>1</v>
      </c>
      <c r="I82" s="8" t="s">
        <v>142</v>
      </c>
      <c r="J82" s="8" t="s">
        <v>50</v>
      </c>
      <c r="K82" s="8" t="s">
        <v>18</v>
      </c>
      <c r="L82" s="8" t="s">
        <v>68</v>
      </c>
    </row>
    <row r="83" spans="1:12">
      <c r="A83">
        <v>1082</v>
      </c>
      <c r="B83" s="5" t="s">
        <v>73</v>
      </c>
      <c r="C83" s="6" t="s">
        <v>13</v>
      </c>
      <c r="D83" s="6">
        <v>30</v>
      </c>
      <c r="E83" s="6" t="s">
        <v>47</v>
      </c>
      <c r="F83" s="6" t="s">
        <v>48</v>
      </c>
      <c r="G83" s="6">
        <v>55095</v>
      </c>
      <c r="H83" s="6">
        <v>2</v>
      </c>
      <c r="I83" s="6" t="s">
        <v>143</v>
      </c>
      <c r="J83" s="6" t="s">
        <v>46</v>
      </c>
      <c r="K83" s="6" t="s">
        <v>18</v>
      </c>
      <c r="L83" s="6" t="s">
        <v>32</v>
      </c>
    </row>
    <row r="84" spans="1:12">
      <c r="A84">
        <v>1083</v>
      </c>
      <c r="B84" s="7" t="s">
        <v>42</v>
      </c>
      <c r="C84" s="8" t="s">
        <v>13</v>
      </c>
      <c r="D84" s="8">
        <v>42</v>
      </c>
      <c r="E84" s="8" t="s">
        <v>14</v>
      </c>
      <c r="F84" s="8" t="s">
        <v>15</v>
      </c>
      <c r="G84" s="8">
        <v>79210</v>
      </c>
      <c r="H84" s="8">
        <v>14</v>
      </c>
      <c r="I84" s="8" t="s">
        <v>144</v>
      </c>
      <c r="J84" s="8" t="s">
        <v>17</v>
      </c>
      <c r="K84" s="8" t="s">
        <v>18</v>
      </c>
      <c r="L84" s="8" t="s">
        <v>32</v>
      </c>
    </row>
    <row r="85" spans="1:12">
      <c r="A85">
        <v>1084</v>
      </c>
      <c r="B85" s="5" t="s">
        <v>57</v>
      </c>
      <c r="C85" s="6" t="s">
        <v>13</v>
      </c>
      <c r="D85" s="6">
        <v>28</v>
      </c>
      <c r="E85" s="6" t="s">
        <v>64</v>
      </c>
      <c r="F85" s="6" t="s">
        <v>82</v>
      </c>
      <c r="G85" s="6">
        <v>63760</v>
      </c>
      <c r="H85" s="6">
        <v>1</v>
      </c>
      <c r="I85" s="6" t="s">
        <v>145</v>
      </c>
      <c r="J85" s="6" t="s">
        <v>17</v>
      </c>
      <c r="K85" s="6" t="s">
        <v>18</v>
      </c>
      <c r="L85" s="6" t="s">
        <v>32</v>
      </c>
    </row>
    <row r="86" spans="1:12">
      <c r="A86">
        <v>1085</v>
      </c>
      <c r="B86" s="7" t="s">
        <v>42</v>
      </c>
      <c r="C86" s="8" t="s">
        <v>26</v>
      </c>
      <c r="D86" s="8">
        <v>36</v>
      </c>
      <c r="E86" s="8" t="s">
        <v>27</v>
      </c>
      <c r="F86" s="8" t="s">
        <v>28</v>
      </c>
      <c r="G86" s="8">
        <v>88477</v>
      </c>
      <c r="H86" s="8">
        <v>8</v>
      </c>
      <c r="I86" s="8" t="s">
        <v>146</v>
      </c>
      <c r="J86" s="8" t="s">
        <v>50</v>
      </c>
      <c r="K86" s="8" t="s">
        <v>18</v>
      </c>
      <c r="L86" s="8" t="s">
        <v>32</v>
      </c>
    </row>
    <row r="87" spans="1:12">
      <c r="A87">
        <v>1086</v>
      </c>
      <c r="B87" s="5" t="s">
        <v>12</v>
      </c>
      <c r="C87" s="6" t="s">
        <v>26</v>
      </c>
      <c r="D87" s="6">
        <v>31</v>
      </c>
      <c r="E87" s="6" t="s">
        <v>43</v>
      </c>
      <c r="F87" s="6" t="s">
        <v>44</v>
      </c>
      <c r="G87" s="6">
        <v>82389</v>
      </c>
      <c r="H87" s="6">
        <v>4</v>
      </c>
      <c r="I87" s="6" t="s">
        <v>147</v>
      </c>
      <c r="J87" s="6" t="s">
        <v>23</v>
      </c>
      <c r="K87" s="6" t="s">
        <v>55</v>
      </c>
      <c r="L87" s="6" t="s">
        <v>52</v>
      </c>
    </row>
    <row r="88" spans="1:12">
      <c r="A88">
        <v>1087</v>
      </c>
      <c r="B88" s="7" t="s">
        <v>20</v>
      </c>
      <c r="C88" s="8" t="s">
        <v>13</v>
      </c>
      <c r="D88" s="8">
        <v>37</v>
      </c>
      <c r="E88" s="8" t="s">
        <v>47</v>
      </c>
      <c r="F88" s="8" t="s">
        <v>48</v>
      </c>
      <c r="G88" s="8">
        <v>118232</v>
      </c>
      <c r="H88" s="8">
        <v>15</v>
      </c>
      <c r="I88" s="8" t="s">
        <v>148</v>
      </c>
      <c r="J88" s="8" t="s">
        <v>17</v>
      </c>
      <c r="K88" s="8" t="s">
        <v>18</v>
      </c>
      <c r="L88" s="8" t="s">
        <v>19</v>
      </c>
    </row>
    <row r="89" spans="1:12">
      <c r="A89">
        <v>1088</v>
      </c>
      <c r="B89" s="5" t="s">
        <v>53</v>
      </c>
      <c r="C89" s="6" t="s">
        <v>13</v>
      </c>
      <c r="D89" s="6">
        <v>25</v>
      </c>
      <c r="E89" s="6" t="s">
        <v>47</v>
      </c>
      <c r="F89" s="6" t="s">
        <v>48</v>
      </c>
      <c r="G89" s="6">
        <v>109347</v>
      </c>
      <c r="H89" s="6">
        <v>2</v>
      </c>
      <c r="I89" s="6" t="s">
        <v>149</v>
      </c>
      <c r="J89" s="6" t="s">
        <v>23</v>
      </c>
      <c r="K89" s="6" t="s">
        <v>18</v>
      </c>
      <c r="L89" s="6" t="s">
        <v>68</v>
      </c>
    </row>
    <row r="90" spans="1:12">
      <c r="A90">
        <v>1089</v>
      </c>
      <c r="B90" s="7" t="s">
        <v>73</v>
      </c>
      <c r="C90" s="8" t="s">
        <v>13</v>
      </c>
      <c r="D90" s="8">
        <v>35</v>
      </c>
      <c r="E90" s="8" t="s">
        <v>47</v>
      </c>
      <c r="F90" s="8" t="s">
        <v>48</v>
      </c>
      <c r="G90" s="8">
        <v>119822</v>
      </c>
      <c r="H90" s="8">
        <v>13</v>
      </c>
      <c r="I90" s="8" t="s">
        <v>150</v>
      </c>
      <c r="J90" s="8" t="s">
        <v>46</v>
      </c>
      <c r="K90" s="8" t="s">
        <v>18</v>
      </c>
      <c r="L90" s="8" t="s">
        <v>24</v>
      </c>
    </row>
    <row r="91" spans="1:12">
      <c r="A91">
        <v>1090</v>
      </c>
      <c r="B91" s="5" t="s">
        <v>87</v>
      </c>
      <c r="C91" s="6" t="s">
        <v>26</v>
      </c>
      <c r="D91" s="6">
        <v>35</v>
      </c>
      <c r="E91" s="6" t="s">
        <v>43</v>
      </c>
      <c r="F91" s="6" t="s">
        <v>88</v>
      </c>
      <c r="G91" s="6">
        <v>105863</v>
      </c>
      <c r="H91" s="6">
        <v>14</v>
      </c>
      <c r="I91" s="6" t="s">
        <v>151</v>
      </c>
      <c r="J91" s="6" t="s">
        <v>50</v>
      </c>
      <c r="K91" s="6" t="s">
        <v>18</v>
      </c>
      <c r="L91" s="6" t="s">
        <v>68</v>
      </c>
    </row>
    <row r="92" spans="1:12">
      <c r="A92">
        <v>1091</v>
      </c>
      <c r="B92" s="7" t="s">
        <v>78</v>
      </c>
      <c r="C92" s="8" t="s">
        <v>26</v>
      </c>
      <c r="D92" s="8">
        <v>37</v>
      </c>
      <c r="E92" s="8" t="s">
        <v>47</v>
      </c>
      <c r="F92" s="8" t="s">
        <v>48</v>
      </c>
      <c r="G92" s="8">
        <v>85900</v>
      </c>
      <c r="H92" s="8">
        <v>14</v>
      </c>
      <c r="I92" s="8" t="s">
        <v>152</v>
      </c>
      <c r="J92" s="8" t="s">
        <v>46</v>
      </c>
      <c r="K92" s="8" t="s">
        <v>18</v>
      </c>
      <c r="L92" s="8" t="s">
        <v>32</v>
      </c>
    </row>
    <row r="93" spans="1:12">
      <c r="A93">
        <v>1092</v>
      </c>
      <c r="B93" s="5" t="s">
        <v>153</v>
      </c>
      <c r="C93" s="6" t="s">
        <v>13</v>
      </c>
      <c r="D93" s="6">
        <v>31</v>
      </c>
      <c r="E93" s="6" t="s">
        <v>14</v>
      </c>
      <c r="F93" s="6" t="s">
        <v>21</v>
      </c>
      <c r="G93" s="6">
        <v>42329</v>
      </c>
      <c r="H93" s="6">
        <v>1</v>
      </c>
      <c r="I93" s="6" t="s">
        <v>154</v>
      </c>
      <c r="J93" s="6" t="s">
        <v>46</v>
      </c>
      <c r="K93" s="6" t="s">
        <v>18</v>
      </c>
      <c r="L93" s="6" t="s">
        <v>32</v>
      </c>
    </row>
    <row r="94" spans="1:12">
      <c r="A94">
        <v>1093</v>
      </c>
      <c r="B94" s="7" t="s">
        <v>153</v>
      </c>
      <c r="C94" s="8" t="s">
        <v>26</v>
      </c>
      <c r="D94" s="8">
        <v>39</v>
      </c>
      <c r="E94" s="8" t="s">
        <v>43</v>
      </c>
      <c r="F94" s="8" t="s">
        <v>88</v>
      </c>
      <c r="G94" s="8">
        <v>110980</v>
      </c>
      <c r="H94" s="8">
        <v>9</v>
      </c>
      <c r="I94" s="8" t="s">
        <v>155</v>
      </c>
      <c r="J94" s="8" t="s">
        <v>23</v>
      </c>
      <c r="K94" s="8" t="s">
        <v>18</v>
      </c>
      <c r="L94" s="8" t="s">
        <v>52</v>
      </c>
    </row>
    <row r="95" spans="1:12">
      <c r="A95">
        <v>1094</v>
      </c>
      <c r="B95" s="5" t="s">
        <v>42</v>
      </c>
      <c r="C95" s="6" t="s">
        <v>26</v>
      </c>
      <c r="D95" s="6">
        <v>36</v>
      </c>
      <c r="E95" s="6" t="s">
        <v>43</v>
      </c>
      <c r="F95" s="6" t="s">
        <v>88</v>
      </c>
      <c r="G95" s="6">
        <v>98663</v>
      </c>
      <c r="H95" s="6">
        <v>12</v>
      </c>
      <c r="I95" s="6" t="s">
        <v>156</v>
      </c>
      <c r="J95" s="6" t="s">
        <v>46</v>
      </c>
      <c r="K95" s="6" t="s">
        <v>18</v>
      </c>
      <c r="L95" s="6" t="s">
        <v>19</v>
      </c>
    </row>
    <row r="96" spans="1:12">
      <c r="A96">
        <v>1095</v>
      </c>
      <c r="B96" s="7" t="s">
        <v>12</v>
      </c>
      <c r="C96" s="8" t="s">
        <v>26</v>
      </c>
      <c r="D96" s="8">
        <v>30</v>
      </c>
      <c r="E96" s="8" t="s">
        <v>35</v>
      </c>
      <c r="F96" s="8" t="s">
        <v>36</v>
      </c>
      <c r="G96" s="8">
        <v>61014</v>
      </c>
      <c r="H96" s="8">
        <v>4</v>
      </c>
      <c r="I96" s="8" t="s">
        <v>157</v>
      </c>
      <c r="J96" s="8" t="s">
        <v>17</v>
      </c>
      <c r="K96" s="8" t="s">
        <v>18</v>
      </c>
      <c r="L96" s="8" t="s">
        <v>24</v>
      </c>
    </row>
    <row r="97" spans="1:12">
      <c r="A97">
        <v>1096</v>
      </c>
      <c r="B97" s="5" t="s">
        <v>73</v>
      </c>
      <c r="C97" s="6" t="s">
        <v>26</v>
      </c>
      <c r="D97" s="6">
        <v>41</v>
      </c>
      <c r="E97" s="6" t="s">
        <v>47</v>
      </c>
      <c r="F97" s="6" t="s">
        <v>48</v>
      </c>
      <c r="G97" s="6">
        <v>40769</v>
      </c>
      <c r="H97" s="6">
        <v>11</v>
      </c>
      <c r="I97" s="6" t="s">
        <v>158</v>
      </c>
      <c r="J97" s="6" t="s">
        <v>46</v>
      </c>
      <c r="K97" s="6" t="s">
        <v>18</v>
      </c>
      <c r="L97" s="6" t="s">
        <v>59</v>
      </c>
    </row>
    <row r="98" spans="1:12">
      <c r="A98">
        <v>1097</v>
      </c>
      <c r="B98" s="7" t="s">
        <v>78</v>
      </c>
      <c r="C98" s="8" t="s">
        <v>26</v>
      </c>
      <c r="D98" s="8">
        <v>38</v>
      </c>
      <c r="E98" s="8" t="s">
        <v>35</v>
      </c>
      <c r="F98" s="8" t="s">
        <v>103</v>
      </c>
      <c r="G98" s="8">
        <v>68230</v>
      </c>
      <c r="H98" s="8">
        <v>10</v>
      </c>
      <c r="I98" s="8" t="s">
        <v>146</v>
      </c>
      <c r="J98" s="8" t="s">
        <v>17</v>
      </c>
      <c r="K98" s="8" t="s">
        <v>18</v>
      </c>
      <c r="L98" s="8" t="s">
        <v>59</v>
      </c>
    </row>
    <row r="99" spans="1:12">
      <c r="A99">
        <v>1098</v>
      </c>
      <c r="B99" s="5" t="s">
        <v>111</v>
      </c>
      <c r="C99" s="6" t="s">
        <v>13</v>
      </c>
      <c r="D99" s="6">
        <v>37</v>
      </c>
      <c r="E99" s="6" t="s">
        <v>35</v>
      </c>
      <c r="F99" s="6" t="s">
        <v>36</v>
      </c>
      <c r="G99" s="6">
        <v>96163</v>
      </c>
      <c r="H99" s="6">
        <v>7</v>
      </c>
      <c r="I99" s="6" t="s">
        <v>56</v>
      </c>
      <c r="J99" s="6" t="s">
        <v>46</v>
      </c>
      <c r="K99" s="6" t="s">
        <v>18</v>
      </c>
      <c r="L99" s="6" t="s">
        <v>32</v>
      </c>
    </row>
    <row r="100" spans="1:12">
      <c r="A100">
        <v>1099</v>
      </c>
      <c r="B100" s="7" t="s">
        <v>30</v>
      </c>
      <c r="C100" s="8" t="s">
        <v>13</v>
      </c>
      <c r="D100" s="8">
        <v>34</v>
      </c>
      <c r="E100" s="8" t="s">
        <v>43</v>
      </c>
      <c r="F100" s="8" t="s">
        <v>88</v>
      </c>
      <c r="G100" s="8">
        <v>42130</v>
      </c>
      <c r="H100" s="8">
        <v>11</v>
      </c>
      <c r="I100" s="8" t="s">
        <v>159</v>
      </c>
      <c r="J100" s="8" t="s">
        <v>23</v>
      </c>
      <c r="K100" s="8" t="s">
        <v>18</v>
      </c>
      <c r="L100" s="8" t="s">
        <v>68</v>
      </c>
    </row>
    <row r="101" spans="1:12">
      <c r="A101">
        <v>1100</v>
      </c>
      <c r="B101" s="5" t="s">
        <v>92</v>
      </c>
      <c r="C101" s="6" t="s">
        <v>13</v>
      </c>
      <c r="D101" s="6">
        <v>40</v>
      </c>
      <c r="E101" s="6" t="s">
        <v>47</v>
      </c>
      <c r="F101" s="6" t="s">
        <v>48</v>
      </c>
      <c r="G101" s="6">
        <v>114766</v>
      </c>
      <c r="H101" s="6">
        <v>10</v>
      </c>
      <c r="I101" s="6" t="s">
        <v>160</v>
      </c>
      <c r="J101" s="6" t="s">
        <v>23</v>
      </c>
      <c r="K101" s="6" t="s">
        <v>18</v>
      </c>
      <c r="L101" s="6" t="s">
        <v>59</v>
      </c>
    </row>
    <row r="102" spans="1:12">
      <c r="A102">
        <v>1101</v>
      </c>
      <c r="B102" s="7" t="s">
        <v>153</v>
      </c>
      <c r="C102" s="8" t="s">
        <v>13</v>
      </c>
      <c r="D102" s="8">
        <v>39</v>
      </c>
      <c r="E102" s="8" t="s">
        <v>47</v>
      </c>
      <c r="F102" s="8" t="s">
        <v>48</v>
      </c>
      <c r="G102" s="8">
        <v>82755</v>
      </c>
      <c r="H102" s="8">
        <v>14</v>
      </c>
      <c r="I102" s="8" t="s">
        <v>161</v>
      </c>
      <c r="J102" s="8" t="s">
        <v>46</v>
      </c>
      <c r="K102" s="8" t="s">
        <v>18</v>
      </c>
      <c r="L102" s="8" t="s">
        <v>59</v>
      </c>
    </row>
    <row r="103" spans="1:12">
      <c r="A103">
        <v>1102</v>
      </c>
      <c r="B103" s="5" t="s">
        <v>53</v>
      </c>
      <c r="C103" s="6" t="s">
        <v>26</v>
      </c>
      <c r="D103" s="6">
        <v>38</v>
      </c>
      <c r="E103" s="6" t="s">
        <v>43</v>
      </c>
      <c r="F103" s="6" t="s">
        <v>88</v>
      </c>
      <c r="G103" s="6">
        <v>106138</v>
      </c>
      <c r="H103" s="6">
        <v>15</v>
      </c>
      <c r="I103" s="6" t="s">
        <v>162</v>
      </c>
      <c r="J103" s="6" t="s">
        <v>23</v>
      </c>
      <c r="K103" s="6" t="s">
        <v>18</v>
      </c>
      <c r="L103" s="6" t="s">
        <v>68</v>
      </c>
    </row>
    <row r="104" spans="1:12">
      <c r="A104">
        <v>1103</v>
      </c>
      <c r="B104" s="7" t="s">
        <v>71</v>
      </c>
      <c r="C104" s="8" t="s">
        <v>26</v>
      </c>
      <c r="D104" s="8">
        <v>23</v>
      </c>
      <c r="E104" s="8" t="s">
        <v>47</v>
      </c>
      <c r="F104" s="8" t="s">
        <v>48</v>
      </c>
      <c r="G104" s="8">
        <v>77328</v>
      </c>
      <c r="H104" s="8">
        <v>2</v>
      </c>
      <c r="I104" s="8" t="s">
        <v>163</v>
      </c>
      <c r="J104" s="8" t="s">
        <v>23</v>
      </c>
      <c r="K104" s="8" t="s">
        <v>18</v>
      </c>
      <c r="L104" s="8" t="s">
        <v>32</v>
      </c>
    </row>
    <row r="105" spans="1:12">
      <c r="A105">
        <v>1104</v>
      </c>
      <c r="B105" s="5" t="s">
        <v>53</v>
      </c>
      <c r="C105" s="6" t="s">
        <v>13</v>
      </c>
      <c r="D105" s="6">
        <v>26</v>
      </c>
      <c r="E105" s="6" t="s">
        <v>35</v>
      </c>
      <c r="F105" s="6" t="s">
        <v>36</v>
      </c>
      <c r="G105" s="6">
        <v>101152</v>
      </c>
      <c r="H105" s="6">
        <v>5</v>
      </c>
      <c r="I105" s="6" t="s">
        <v>164</v>
      </c>
      <c r="J105" s="6" t="s">
        <v>17</v>
      </c>
      <c r="K105" s="6" t="s">
        <v>55</v>
      </c>
      <c r="L105" s="6" t="s">
        <v>59</v>
      </c>
    </row>
    <row r="106" spans="1:12">
      <c r="A106">
        <v>1105</v>
      </c>
      <c r="B106" s="7" t="s">
        <v>57</v>
      </c>
      <c r="C106" s="8" t="s">
        <v>26</v>
      </c>
      <c r="D106" s="8">
        <v>37</v>
      </c>
      <c r="E106" s="8" t="s">
        <v>64</v>
      </c>
      <c r="F106" s="8" t="s">
        <v>82</v>
      </c>
      <c r="G106" s="8">
        <v>41934</v>
      </c>
      <c r="H106" s="8">
        <v>11</v>
      </c>
      <c r="I106" s="8" t="s">
        <v>165</v>
      </c>
      <c r="J106" s="8" t="s">
        <v>23</v>
      </c>
      <c r="K106" s="8" t="s">
        <v>18</v>
      </c>
      <c r="L106" s="8" t="s">
        <v>68</v>
      </c>
    </row>
    <row r="107" spans="1:12">
      <c r="A107">
        <v>1106</v>
      </c>
      <c r="B107" s="5" t="s">
        <v>100</v>
      </c>
      <c r="C107" s="6" t="s">
        <v>13</v>
      </c>
      <c r="D107" s="6">
        <v>38</v>
      </c>
      <c r="E107" s="6" t="s">
        <v>35</v>
      </c>
      <c r="F107" s="6" t="s">
        <v>103</v>
      </c>
      <c r="G107" s="6">
        <v>61312</v>
      </c>
      <c r="H107" s="6">
        <v>12</v>
      </c>
      <c r="I107" s="6" t="s">
        <v>90</v>
      </c>
      <c r="J107" s="6" t="s">
        <v>17</v>
      </c>
      <c r="K107" s="6" t="s">
        <v>18</v>
      </c>
      <c r="L107" s="6" t="s">
        <v>68</v>
      </c>
    </row>
    <row r="108" spans="1:12">
      <c r="A108">
        <v>1107</v>
      </c>
      <c r="B108" s="7" t="s">
        <v>30</v>
      </c>
      <c r="C108" s="8" t="s">
        <v>26</v>
      </c>
      <c r="D108" s="8">
        <v>26</v>
      </c>
      <c r="E108" s="8" t="s">
        <v>43</v>
      </c>
      <c r="F108" s="8" t="s">
        <v>44</v>
      </c>
      <c r="G108" s="8">
        <v>68528</v>
      </c>
      <c r="H108" s="8">
        <v>0</v>
      </c>
      <c r="I108" s="8" t="s">
        <v>166</v>
      </c>
      <c r="J108" s="8" t="s">
        <v>46</v>
      </c>
      <c r="K108" s="8" t="s">
        <v>18</v>
      </c>
      <c r="L108" s="8" t="s">
        <v>68</v>
      </c>
    </row>
    <row r="109" spans="1:12">
      <c r="A109">
        <v>1108</v>
      </c>
      <c r="B109" s="5" t="s">
        <v>78</v>
      </c>
      <c r="C109" s="6" t="s">
        <v>26</v>
      </c>
      <c r="D109" s="6">
        <v>35</v>
      </c>
      <c r="E109" s="6" t="s">
        <v>47</v>
      </c>
      <c r="F109" s="6" t="s">
        <v>69</v>
      </c>
      <c r="G109" s="6">
        <v>63977</v>
      </c>
      <c r="H109" s="6">
        <v>13</v>
      </c>
      <c r="I109" s="6" t="s">
        <v>167</v>
      </c>
      <c r="J109" s="6" t="s">
        <v>17</v>
      </c>
      <c r="K109" s="6" t="s">
        <v>18</v>
      </c>
      <c r="L109" s="6" t="s">
        <v>52</v>
      </c>
    </row>
    <row r="110" spans="1:12">
      <c r="A110">
        <v>1109</v>
      </c>
      <c r="B110" s="7" t="s">
        <v>153</v>
      </c>
      <c r="C110" s="8" t="s">
        <v>13</v>
      </c>
      <c r="D110" s="8">
        <v>43</v>
      </c>
      <c r="E110" s="8" t="s">
        <v>64</v>
      </c>
      <c r="F110" s="8" t="s">
        <v>82</v>
      </c>
      <c r="G110" s="8">
        <v>95686</v>
      </c>
      <c r="H110" s="8">
        <v>14</v>
      </c>
      <c r="I110" s="8" t="s">
        <v>168</v>
      </c>
      <c r="J110" s="8" t="s">
        <v>50</v>
      </c>
      <c r="K110" s="8" t="s">
        <v>18</v>
      </c>
      <c r="L110" s="8" t="s">
        <v>24</v>
      </c>
    </row>
    <row r="111" spans="1:12">
      <c r="A111">
        <v>1110</v>
      </c>
      <c r="B111" s="5" t="s">
        <v>57</v>
      </c>
      <c r="C111" s="6" t="s">
        <v>26</v>
      </c>
      <c r="D111" s="6">
        <v>35</v>
      </c>
      <c r="E111" s="6" t="s">
        <v>35</v>
      </c>
      <c r="F111" s="6" t="s">
        <v>36</v>
      </c>
      <c r="G111" s="6">
        <v>78870</v>
      </c>
      <c r="H111" s="6">
        <v>14</v>
      </c>
      <c r="I111" s="6" t="s">
        <v>169</v>
      </c>
      <c r="J111" s="6" t="s">
        <v>17</v>
      </c>
      <c r="K111" s="6" t="s">
        <v>18</v>
      </c>
      <c r="L111" s="6" t="s">
        <v>32</v>
      </c>
    </row>
    <row r="112" spans="1:12">
      <c r="A112">
        <v>1111</v>
      </c>
      <c r="B112" s="7" t="s">
        <v>73</v>
      </c>
      <c r="C112" s="8" t="s">
        <v>13</v>
      </c>
      <c r="D112" s="8">
        <v>32</v>
      </c>
      <c r="E112" s="8" t="s">
        <v>43</v>
      </c>
      <c r="F112" s="8" t="s">
        <v>44</v>
      </c>
      <c r="G112" s="8">
        <v>74931</v>
      </c>
      <c r="H112" s="8">
        <v>6</v>
      </c>
      <c r="I112" s="8" t="s">
        <v>170</v>
      </c>
      <c r="J112" s="8" t="s">
        <v>50</v>
      </c>
      <c r="K112" s="8" t="s">
        <v>18</v>
      </c>
      <c r="L112" s="8" t="s">
        <v>19</v>
      </c>
    </row>
    <row r="113" spans="1:12">
      <c r="A113">
        <v>1112</v>
      </c>
      <c r="B113" s="5" t="s">
        <v>100</v>
      </c>
      <c r="C113" s="6" t="s">
        <v>26</v>
      </c>
      <c r="D113" s="6">
        <v>21</v>
      </c>
      <c r="E113" s="6" t="s">
        <v>64</v>
      </c>
      <c r="F113" s="6" t="s">
        <v>82</v>
      </c>
      <c r="G113" s="6">
        <v>99519</v>
      </c>
      <c r="H113" s="6">
        <v>0</v>
      </c>
      <c r="I113" s="6" t="s">
        <v>171</v>
      </c>
      <c r="J113" s="6" t="s">
        <v>17</v>
      </c>
      <c r="K113" s="6" t="s">
        <v>18</v>
      </c>
      <c r="L113" s="6" t="s">
        <v>19</v>
      </c>
    </row>
    <row r="114" spans="1:12">
      <c r="A114">
        <v>1113</v>
      </c>
      <c r="B114" s="7" t="s">
        <v>42</v>
      </c>
      <c r="C114" s="8" t="s">
        <v>13</v>
      </c>
      <c r="D114" s="8">
        <v>33</v>
      </c>
      <c r="E114" s="8" t="s">
        <v>64</v>
      </c>
      <c r="F114" s="8" t="s">
        <v>65</v>
      </c>
      <c r="G114" s="8">
        <v>107992</v>
      </c>
      <c r="H114" s="8">
        <v>7</v>
      </c>
      <c r="I114" s="8" t="s">
        <v>172</v>
      </c>
      <c r="J114" s="8" t="s">
        <v>23</v>
      </c>
      <c r="K114" s="8" t="s">
        <v>18</v>
      </c>
      <c r="L114" s="8" t="s">
        <v>32</v>
      </c>
    </row>
    <row r="115" spans="1:12">
      <c r="A115">
        <v>1114</v>
      </c>
      <c r="B115" s="5" t="s">
        <v>153</v>
      </c>
      <c r="C115" s="6" t="s">
        <v>26</v>
      </c>
      <c r="D115" s="6">
        <v>32</v>
      </c>
      <c r="E115" s="6" t="s">
        <v>64</v>
      </c>
      <c r="F115" s="6" t="s">
        <v>65</v>
      </c>
      <c r="G115" s="6">
        <v>62725</v>
      </c>
      <c r="H115" s="6">
        <v>4</v>
      </c>
      <c r="I115" s="6" t="s">
        <v>173</v>
      </c>
      <c r="J115" s="6" t="s">
        <v>17</v>
      </c>
      <c r="K115" s="6" t="s">
        <v>18</v>
      </c>
      <c r="L115" s="6" t="s">
        <v>19</v>
      </c>
    </row>
    <row r="116" spans="1:12">
      <c r="A116">
        <v>1115</v>
      </c>
      <c r="B116" s="7" t="s">
        <v>40</v>
      </c>
      <c r="C116" s="8" t="s">
        <v>26</v>
      </c>
      <c r="D116" s="8">
        <v>25</v>
      </c>
      <c r="E116" s="8" t="s">
        <v>27</v>
      </c>
      <c r="F116" s="8" t="s">
        <v>61</v>
      </c>
      <c r="G116" s="8">
        <v>105732</v>
      </c>
      <c r="H116" s="8">
        <v>1</v>
      </c>
      <c r="I116" s="8" t="s">
        <v>174</v>
      </c>
      <c r="J116" s="8" t="s">
        <v>17</v>
      </c>
      <c r="K116" s="8" t="s">
        <v>18</v>
      </c>
      <c r="L116" s="8" t="s">
        <v>52</v>
      </c>
    </row>
    <row r="117" spans="1:12">
      <c r="A117">
        <v>1116</v>
      </c>
      <c r="B117" s="5" t="s">
        <v>71</v>
      </c>
      <c r="C117" s="6" t="s">
        <v>26</v>
      </c>
      <c r="D117" s="6">
        <v>27</v>
      </c>
      <c r="E117" s="6" t="s">
        <v>27</v>
      </c>
      <c r="F117" s="6" t="s">
        <v>28</v>
      </c>
      <c r="G117" s="6">
        <v>61877</v>
      </c>
      <c r="H117" s="6">
        <v>5</v>
      </c>
      <c r="I117" s="6" t="s">
        <v>175</v>
      </c>
      <c r="J117" s="6" t="s">
        <v>17</v>
      </c>
      <c r="K117" s="6" t="s">
        <v>18</v>
      </c>
      <c r="L117" s="6" t="s">
        <v>32</v>
      </c>
    </row>
    <row r="118" spans="1:12">
      <c r="A118">
        <v>1117</v>
      </c>
      <c r="B118" s="7" t="s">
        <v>42</v>
      </c>
      <c r="C118" s="8" t="s">
        <v>26</v>
      </c>
      <c r="D118" s="8">
        <v>37</v>
      </c>
      <c r="E118" s="8" t="s">
        <v>27</v>
      </c>
      <c r="F118" s="8" t="s">
        <v>38</v>
      </c>
      <c r="G118" s="8">
        <v>94606</v>
      </c>
      <c r="H118" s="8">
        <v>7</v>
      </c>
      <c r="I118" s="8" t="s">
        <v>176</v>
      </c>
      <c r="J118" s="8" t="s">
        <v>46</v>
      </c>
      <c r="K118" s="8" t="s">
        <v>55</v>
      </c>
      <c r="L118" s="8" t="s">
        <v>32</v>
      </c>
    </row>
    <row r="119" spans="1:12">
      <c r="A119">
        <v>1118</v>
      </c>
      <c r="B119" s="5" t="s">
        <v>30</v>
      </c>
      <c r="C119" s="6" t="s">
        <v>26</v>
      </c>
      <c r="D119" s="6">
        <v>32</v>
      </c>
      <c r="E119" s="6" t="s">
        <v>14</v>
      </c>
      <c r="F119" s="6" t="s">
        <v>21</v>
      </c>
      <c r="G119" s="6">
        <v>108660</v>
      </c>
      <c r="H119" s="6">
        <v>4</v>
      </c>
      <c r="I119" s="6" t="s">
        <v>177</v>
      </c>
      <c r="J119" s="6" t="s">
        <v>46</v>
      </c>
      <c r="K119" s="6" t="s">
        <v>18</v>
      </c>
      <c r="L119" s="6" t="s">
        <v>59</v>
      </c>
    </row>
    <row r="120" spans="1:12">
      <c r="A120">
        <v>1119</v>
      </c>
      <c r="B120" s="7" t="s">
        <v>100</v>
      </c>
      <c r="C120" s="8" t="s">
        <v>13</v>
      </c>
      <c r="D120" s="8">
        <v>43</v>
      </c>
      <c r="E120" s="8" t="s">
        <v>27</v>
      </c>
      <c r="F120" s="8" t="s">
        <v>38</v>
      </c>
      <c r="G120" s="8">
        <v>105914</v>
      </c>
      <c r="H120" s="8">
        <v>15</v>
      </c>
      <c r="I120" s="8" t="s">
        <v>178</v>
      </c>
      <c r="J120" s="8" t="s">
        <v>23</v>
      </c>
      <c r="K120" s="8" t="s">
        <v>18</v>
      </c>
      <c r="L120" s="8" t="s">
        <v>52</v>
      </c>
    </row>
    <row r="121" spans="1:12">
      <c r="A121">
        <v>1120</v>
      </c>
      <c r="B121" s="5" t="s">
        <v>33</v>
      </c>
      <c r="C121" s="6" t="s">
        <v>26</v>
      </c>
      <c r="D121" s="6">
        <v>38</v>
      </c>
      <c r="E121" s="6" t="s">
        <v>47</v>
      </c>
      <c r="F121" s="6" t="s">
        <v>69</v>
      </c>
      <c r="G121" s="6">
        <v>95790</v>
      </c>
      <c r="H121" s="6">
        <v>11</v>
      </c>
      <c r="I121" s="6" t="s">
        <v>179</v>
      </c>
      <c r="J121" s="6" t="s">
        <v>50</v>
      </c>
      <c r="K121" s="6" t="s">
        <v>18</v>
      </c>
      <c r="L121" s="6" t="s">
        <v>68</v>
      </c>
    </row>
    <row r="122" spans="1:12">
      <c r="A122">
        <v>1121</v>
      </c>
      <c r="B122" s="7" t="s">
        <v>12</v>
      </c>
      <c r="C122" s="8" t="s">
        <v>13</v>
      </c>
      <c r="D122" s="8">
        <v>43</v>
      </c>
      <c r="E122" s="8" t="s">
        <v>14</v>
      </c>
      <c r="F122" s="8" t="s">
        <v>15</v>
      </c>
      <c r="G122" s="8">
        <v>114803</v>
      </c>
      <c r="H122" s="8">
        <v>14</v>
      </c>
      <c r="I122" s="8" t="s">
        <v>180</v>
      </c>
      <c r="J122" s="8" t="s">
        <v>17</v>
      </c>
      <c r="K122" s="8" t="s">
        <v>18</v>
      </c>
      <c r="L122" s="8" t="s">
        <v>59</v>
      </c>
    </row>
    <row r="123" spans="1:12">
      <c r="A123">
        <v>1122</v>
      </c>
      <c r="B123" s="5" t="s">
        <v>100</v>
      </c>
      <c r="C123" s="6" t="s">
        <v>26</v>
      </c>
      <c r="D123" s="6">
        <v>30</v>
      </c>
      <c r="E123" s="6" t="s">
        <v>35</v>
      </c>
      <c r="F123" s="6" t="s">
        <v>103</v>
      </c>
      <c r="G123" s="6">
        <v>45521</v>
      </c>
      <c r="H123" s="6">
        <v>4</v>
      </c>
      <c r="I123" s="6" t="s">
        <v>181</v>
      </c>
      <c r="J123" s="6" t="s">
        <v>50</v>
      </c>
      <c r="K123" s="6" t="s">
        <v>18</v>
      </c>
      <c r="L123" s="6" t="s">
        <v>24</v>
      </c>
    </row>
    <row r="124" spans="1:12">
      <c r="A124">
        <v>1123</v>
      </c>
      <c r="B124" s="7" t="s">
        <v>53</v>
      </c>
      <c r="C124" s="8" t="s">
        <v>26</v>
      </c>
      <c r="D124" s="8">
        <v>28</v>
      </c>
      <c r="E124" s="8" t="s">
        <v>35</v>
      </c>
      <c r="F124" s="8" t="s">
        <v>103</v>
      </c>
      <c r="G124" s="8">
        <v>41792</v>
      </c>
      <c r="H124" s="8">
        <v>5</v>
      </c>
      <c r="I124" s="8" t="s">
        <v>182</v>
      </c>
      <c r="J124" s="8" t="s">
        <v>23</v>
      </c>
      <c r="K124" s="8" t="s">
        <v>18</v>
      </c>
      <c r="L124" s="8" t="s">
        <v>32</v>
      </c>
    </row>
    <row r="125" spans="1:12">
      <c r="A125">
        <v>1124</v>
      </c>
      <c r="B125" s="5" t="s">
        <v>25</v>
      </c>
      <c r="C125" s="6" t="s">
        <v>26</v>
      </c>
      <c r="D125" s="6">
        <v>27</v>
      </c>
      <c r="E125" s="6" t="s">
        <v>35</v>
      </c>
      <c r="F125" s="6" t="s">
        <v>103</v>
      </c>
      <c r="G125" s="6">
        <v>76807</v>
      </c>
      <c r="H125" s="6">
        <v>0</v>
      </c>
      <c r="I125" s="6" t="s">
        <v>183</v>
      </c>
      <c r="J125" s="6" t="s">
        <v>46</v>
      </c>
      <c r="K125" s="6" t="s">
        <v>18</v>
      </c>
      <c r="L125" s="6" t="s">
        <v>32</v>
      </c>
    </row>
    <row r="126" spans="1:12">
      <c r="A126">
        <v>1125</v>
      </c>
      <c r="B126" s="7" t="s">
        <v>71</v>
      </c>
      <c r="C126" s="8" t="s">
        <v>26</v>
      </c>
      <c r="D126" s="8">
        <v>35</v>
      </c>
      <c r="E126" s="8" t="s">
        <v>35</v>
      </c>
      <c r="F126" s="8" t="s">
        <v>103</v>
      </c>
      <c r="G126" s="8">
        <v>70595</v>
      </c>
      <c r="H126" s="8">
        <v>11</v>
      </c>
      <c r="I126" s="8" t="s">
        <v>184</v>
      </c>
      <c r="J126" s="8" t="s">
        <v>46</v>
      </c>
      <c r="K126" s="8" t="s">
        <v>18</v>
      </c>
      <c r="L126" s="8" t="s">
        <v>68</v>
      </c>
    </row>
    <row r="127" spans="1:12">
      <c r="A127">
        <v>1126</v>
      </c>
      <c r="B127" s="5" t="s">
        <v>87</v>
      </c>
      <c r="C127" s="6" t="s">
        <v>13</v>
      </c>
      <c r="D127" s="6">
        <v>33</v>
      </c>
      <c r="E127" s="6" t="s">
        <v>43</v>
      </c>
      <c r="F127" s="6" t="s">
        <v>88</v>
      </c>
      <c r="G127" s="6">
        <v>30212</v>
      </c>
      <c r="H127" s="6">
        <v>10</v>
      </c>
      <c r="I127" s="6" t="s">
        <v>185</v>
      </c>
      <c r="J127" s="6" t="s">
        <v>46</v>
      </c>
      <c r="K127" s="6" t="s">
        <v>18</v>
      </c>
      <c r="L127" s="6" t="s">
        <v>19</v>
      </c>
    </row>
    <row r="128" spans="1:12">
      <c r="A128">
        <v>1127</v>
      </c>
      <c r="B128" s="7" t="s">
        <v>60</v>
      </c>
      <c r="C128" s="8" t="s">
        <v>26</v>
      </c>
      <c r="D128" s="8">
        <v>32</v>
      </c>
      <c r="E128" s="8" t="s">
        <v>14</v>
      </c>
      <c r="F128" s="8" t="s">
        <v>21</v>
      </c>
      <c r="G128" s="8">
        <v>80763</v>
      </c>
      <c r="H128" s="8">
        <v>9</v>
      </c>
      <c r="I128" s="8" t="s">
        <v>186</v>
      </c>
      <c r="J128" s="8" t="s">
        <v>17</v>
      </c>
      <c r="K128" s="8" t="s">
        <v>18</v>
      </c>
      <c r="L128" s="8" t="s">
        <v>59</v>
      </c>
    </row>
    <row r="129" spans="1:12">
      <c r="A129">
        <v>1128</v>
      </c>
      <c r="B129" s="5" t="s">
        <v>111</v>
      </c>
      <c r="C129" s="6" t="s">
        <v>13</v>
      </c>
      <c r="D129" s="6">
        <v>23</v>
      </c>
      <c r="E129" s="6" t="s">
        <v>47</v>
      </c>
      <c r="F129" s="6" t="s">
        <v>48</v>
      </c>
      <c r="G129" s="6">
        <v>45843</v>
      </c>
      <c r="H129" s="6">
        <v>1</v>
      </c>
      <c r="I129" s="6" t="s">
        <v>118</v>
      </c>
      <c r="J129" s="6" t="s">
        <v>50</v>
      </c>
      <c r="K129" s="6" t="s">
        <v>55</v>
      </c>
      <c r="L129" s="6" t="s">
        <v>19</v>
      </c>
    </row>
    <row r="130" spans="1:12">
      <c r="A130">
        <v>1129</v>
      </c>
      <c r="B130" s="7" t="s">
        <v>42</v>
      </c>
      <c r="C130" s="8" t="s">
        <v>26</v>
      </c>
      <c r="D130" s="8">
        <v>32</v>
      </c>
      <c r="E130" s="8" t="s">
        <v>14</v>
      </c>
      <c r="F130" s="8" t="s">
        <v>21</v>
      </c>
      <c r="G130" s="8">
        <v>69515</v>
      </c>
      <c r="H130" s="8">
        <v>12</v>
      </c>
      <c r="I130" s="8" t="s">
        <v>187</v>
      </c>
      <c r="J130" s="8" t="s">
        <v>17</v>
      </c>
      <c r="K130" s="8" t="s">
        <v>18</v>
      </c>
      <c r="L130" s="8" t="s">
        <v>59</v>
      </c>
    </row>
    <row r="131" spans="1:12">
      <c r="A131">
        <v>1130</v>
      </c>
      <c r="B131" s="5" t="s">
        <v>53</v>
      </c>
      <c r="C131" s="6" t="s">
        <v>13</v>
      </c>
      <c r="D131" s="6">
        <v>36</v>
      </c>
      <c r="E131" s="6" t="s">
        <v>43</v>
      </c>
      <c r="F131" s="6" t="s">
        <v>88</v>
      </c>
      <c r="G131" s="6">
        <v>31823</v>
      </c>
      <c r="H131" s="6">
        <v>8</v>
      </c>
      <c r="I131" s="6" t="s">
        <v>188</v>
      </c>
      <c r="J131" s="6" t="s">
        <v>23</v>
      </c>
      <c r="K131" s="6" t="s">
        <v>18</v>
      </c>
      <c r="L131" s="6" t="s">
        <v>59</v>
      </c>
    </row>
    <row r="132" spans="1:12">
      <c r="A132">
        <v>1131</v>
      </c>
      <c r="B132" s="7" t="s">
        <v>42</v>
      </c>
      <c r="C132" s="8" t="s">
        <v>13</v>
      </c>
      <c r="D132" s="8">
        <v>38</v>
      </c>
      <c r="E132" s="8" t="s">
        <v>43</v>
      </c>
      <c r="F132" s="8" t="s">
        <v>44</v>
      </c>
      <c r="G132" s="8">
        <v>70524</v>
      </c>
      <c r="H132" s="8">
        <v>8</v>
      </c>
      <c r="I132" s="8" t="s">
        <v>189</v>
      </c>
      <c r="J132" s="8" t="s">
        <v>23</v>
      </c>
      <c r="K132" s="8" t="s">
        <v>18</v>
      </c>
      <c r="L132" s="8" t="s">
        <v>59</v>
      </c>
    </row>
    <row r="133" spans="1:12">
      <c r="A133">
        <v>1132</v>
      </c>
      <c r="B133" s="5" t="s">
        <v>100</v>
      </c>
      <c r="C133" s="6" t="s">
        <v>26</v>
      </c>
      <c r="D133" s="6">
        <v>36</v>
      </c>
      <c r="E133" s="6" t="s">
        <v>35</v>
      </c>
      <c r="F133" s="6" t="s">
        <v>36</v>
      </c>
      <c r="G133" s="6">
        <v>113583</v>
      </c>
      <c r="H133" s="6">
        <v>15</v>
      </c>
      <c r="I133" s="6" t="s">
        <v>190</v>
      </c>
      <c r="J133" s="6" t="s">
        <v>17</v>
      </c>
      <c r="K133" s="6" t="s">
        <v>18</v>
      </c>
      <c r="L133" s="6" t="s">
        <v>68</v>
      </c>
    </row>
    <row r="134" spans="1:12">
      <c r="A134">
        <v>1133</v>
      </c>
      <c r="B134" s="7" t="s">
        <v>73</v>
      </c>
      <c r="C134" s="8" t="s">
        <v>26</v>
      </c>
      <c r="D134" s="8">
        <v>33</v>
      </c>
      <c r="E134" s="8" t="s">
        <v>35</v>
      </c>
      <c r="F134" s="8" t="s">
        <v>103</v>
      </c>
      <c r="G134" s="8">
        <v>95322</v>
      </c>
      <c r="H134" s="8">
        <v>9</v>
      </c>
      <c r="I134" s="8" t="s">
        <v>191</v>
      </c>
      <c r="J134" s="8" t="s">
        <v>23</v>
      </c>
      <c r="K134" s="8" t="s">
        <v>18</v>
      </c>
      <c r="L134" s="8" t="s">
        <v>24</v>
      </c>
    </row>
    <row r="135" spans="1:12">
      <c r="A135">
        <v>1134</v>
      </c>
      <c r="B135" s="5" t="s">
        <v>25</v>
      </c>
      <c r="C135" s="6" t="s">
        <v>13</v>
      </c>
      <c r="D135" s="6">
        <v>39</v>
      </c>
      <c r="E135" s="6" t="s">
        <v>35</v>
      </c>
      <c r="F135" s="6" t="s">
        <v>103</v>
      </c>
      <c r="G135" s="6">
        <v>56335</v>
      </c>
      <c r="H135" s="6">
        <v>10</v>
      </c>
      <c r="I135" s="6" t="s">
        <v>192</v>
      </c>
      <c r="J135" s="6" t="s">
        <v>50</v>
      </c>
      <c r="K135" s="6" t="s">
        <v>18</v>
      </c>
      <c r="L135" s="6" t="s">
        <v>32</v>
      </c>
    </row>
    <row r="136" spans="1:12">
      <c r="A136">
        <v>1135</v>
      </c>
      <c r="B136" s="7" t="s">
        <v>73</v>
      </c>
      <c r="C136" s="8" t="s">
        <v>26</v>
      </c>
      <c r="D136" s="8">
        <v>39</v>
      </c>
      <c r="E136" s="8" t="s">
        <v>47</v>
      </c>
      <c r="F136" s="8" t="s">
        <v>48</v>
      </c>
      <c r="G136" s="8">
        <v>71446</v>
      </c>
      <c r="H136" s="8">
        <v>9</v>
      </c>
      <c r="I136" s="8" t="s">
        <v>193</v>
      </c>
      <c r="J136" s="8" t="s">
        <v>46</v>
      </c>
      <c r="K136" s="8" t="s">
        <v>18</v>
      </c>
      <c r="L136" s="8" t="s">
        <v>59</v>
      </c>
    </row>
    <row r="137" spans="1:12">
      <c r="A137">
        <v>1136</v>
      </c>
      <c r="B137" s="5" t="s">
        <v>111</v>
      </c>
      <c r="C137" s="6" t="s">
        <v>26</v>
      </c>
      <c r="D137" s="6">
        <v>36</v>
      </c>
      <c r="E137" s="6" t="s">
        <v>47</v>
      </c>
      <c r="F137" s="6" t="s">
        <v>48</v>
      </c>
      <c r="G137" s="6">
        <v>69421</v>
      </c>
      <c r="H137" s="6">
        <v>10</v>
      </c>
      <c r="I137" s="6" t="s">
        <v>194</v>
      </c>
      <c r="J137" s="6" t="s">
        <v>50</v>
      </c>
      <c r="K137" s="6" t="s">
        <v>18</v>
      </c>
      <c r="L137" s="6" t="s">
        <v>68</v>
      </c>
    </row>
    <row r="138" spans="1:12">
      <c r="A138">
        <v>1137</v>
      </c>
      <c r="B138" s="7" t="s">
        <v>57</v>
      </c>
      <c r="C138" s="8" t="s">
        <v>13</v>
      </c>
      <c r="D138" s="8">
        <v>27</v>
      </c>
      <c r="E138" s="8" t="s">
        <v>14</v>
      </c>
      <c r="F138" s="8" t="s">
        <v>15</v>
      </c>
      <c r="G138" s="8">
        <v>85869</v>
      </c>
      <c r="H138" s="8">
        <v>4</v>
      </c>
      <c r="I138" s="8" t="s">
        <v>181</v>
      </c>
      <c r="J138" s="8" t="s">
        <v>17</v>
      </c>
      <c r="K138" s="8" t="s">
        <v>18</v>
      </c>
      <c r="L138" s="8" t="s">
        <v>24</v>
      </c>
    </row>
    <row r="139" spans="1:12">
      <c r="A139">
        <v>1138</v>
      </c>
      <c r="B139" s="5" t="s">
        <v>57</v>
      </c>
      <c r="C139" s="6" t="s">
        <v>26</v>
      </c>
      <c r="D139" s="6">
        <v>38</v>
      </c>
      <c r="E139" s="6" t="s">
        <v>27</v>
      </c>
      <c r="F139" s="6" t="s">
        <v>38</v>
      </c>
      <c r="G139" s="6">
        <v>87512</v>
      </c>
      <c r="H139" s="6">
        <v>11</v>
      </c>
      <c r="I139" s="6" t="s">
        <v>195</v>
      </c>
      <c r="J139" s="6" t="s">
        <v>23</v>
      </c>
      <c r="K139" s="6" t="s">
        <v>18</v>
      </c>
      <c r="L139" s="6" t="s">
        <v>59</v>
      </c>
    </row>
    <row r="140" spans="1:12">
      <c r="A140">
        <v>1139</v>
      </c>
      <c r="B140" s="7" t="s">
        <v>42</v>
      </c>
      <c r="C140" s="8" t="s">
        <v>13</v>
      </c>
      <c r="D140" s="8">
        <v>29</v>
      </c>
      <c r="E140" s="8" t="s">
        <v>43</v>
      </c>
      <c r="F140" s="8" t="s">
        <v>44</v>
      </c>
      <c r="G140" s="8">
        <v>101901</v>
      </c>
      <c r="H140" s="8">
        <v>3</v>
      </c>
      <c r="I140" s="8" t="s">
        <v>196</v>
      </c>
      <c r="J140" s="8" t="s">
        <v>50</v>
      </c>
      <c r="K140" s="8" t="s">
        <v>18</v>
      </c>
      <c r="L140" s="8" t="s">
        <v>19</v>
      </c>
    </row>
    <row r="141" spans="1:12">
      <c r="A141">
        <v>1140</v>
      </c>
      <c r="B141" s="5" t="s">
        <v>92</v>
      </c>
      <c r="C141" s="6" t="s">
        <v>26</v>
      </c>
      <c r="D141" s="6">
        <v>36</v>
      </c>
      <c r="E141" s="6" t="s">
        <v>14</v>
      </c>
      <c r="F141" s="6" t="s">
        <v>21</v>
      </c>
      <c r="G141" s="6">
        <v>50499</v>
      </c>
      <c r="H141" s="6">
        <v>9</v>
      </c>
      <c r="I141" s="6" t="s">
        <v>197</v>
      </c>
      <c r="J141" s="6" t="s">
        <v>50</v>
      </c>
      <c r="K141" s="6" t="s">
        <v>18</v>
      </c>
      <c r="L141" s="6" t="s">
        <v>68</v>
      </c>
    </row>
    <row r="142" spans="1:12">
      <c r="A142">
        <v>1141</v>
      </c>
      <c r="B142" s="7" t="s">
        <v>63</v>
      </c>
      <c r="C142" s="8" t="s">
        <v>13</v>
      </c>
      <c r="D142" s="8">
        <v>32</v>
      </c>
      <c r="E142" s="8" t="s">
        <v>43</v>
      </c>
      <c r="F142" s="8" t="s">
        <v>88</v>
      </c>
      <c r="G142" s="8">
        <v>81737</v>
      </c>
      <c r="H142" s="8">
        <v>12</v>
      </c>
      <c r="I142" s="8" t="s">
        <v>198</v>
      </c>
      <c r="J142" s="8" t="s">
        <v>23</v>
      </c>
      <c r="K142" s="8" t="s">
        <v>18</v>
      </c>
      <c r="L142" s="8" t="s">
        <v>32</v>
      </c>
    </row>
    <row r="143" spans="1:12">
      <c r="A143">
        <v>1142</v>
      </c>
      <c r="B143" s="5" t="s">
        <v>87</v>
      </c>
      <c r="C143" s="6" t="s">
        <v>13</v>
      </c>
      <c r="D143" s="6">
        <v>40</v>
      </c>
      <c r="E143" s="6" t="s">
        <v>47</v>
      </c>
      <c r="F143" s="6" t="s">
        <v>48</v>
      </c>
      <c r="G143" s="6">
        <v>58607</v>
      </c>
      <c r="H143" s="6">
        <v>13</v>
      </c>
      <c r="I143" s="6" t="s">
        <v>199</v>
      </c>
      <c r="J143" s="6" t="s">
        <v>17</v>
      </c>
      <c r="K143" s="6" t="s">
        <v>55</v>
      </c>
      <c r="L143" s="6" t="s">
        <v>52</v>
      </c>
    </row>
    <row r="144" spans="1:12">
      <c r="A144">
        <v>1143</v>
      </c>
      <c r="B144" s="7" t="s">
        <v>53</v>
      </c>
      <c r="C144" s="8" t="s">
        <v>13</v>
      </c>
      <c r="D144" s="8">
        <v>35</v>
      </c>
      <c r="E144" s="8" t="s">
        <v>47</v>
      </c>
      <c r="F144" s="8" t="s">
        <v>69</v>
      </c>
      <c r="G144" s="8">
        <v>47662</v>
      </c>
      <c r="H144" s="8">
        <v>9</v>
      </c>
      <c r="I144" s="8" t="s">
        <v>200</v>
      </c>
      <c r="J144" s="8" t="s">
        <v>23</v>
      </c>
      <c r="K144" s="8" t="s">
        <v>18</v>
      </c>
      <c r="L144" s="8" t="s">
        <v>68</v>
      </c>
    </row>
    <row r="145" spans="1:12">
      <c r="A145">
        <v>1144</v>
      </c>
      <c r="B145" s="5" t="s">
        <v>30</v>
      </c>
      <c r="C145" s="6" t="s">
        <v>26</v>
      </c>
      <c r="D145" s="6">
        <v>40</v>
      </c>
      <c r="E145" s="6" t="s">
        <v>14</v>
      </c>
      <c r="F145" s="6" t="s">
        <v>15</v>
      </c>
      <c r="G145" s="6">
        <v>39497</v>
      </c>
      <c r="H145" s="6">
        <v>10</v>
      </c>
      <c r="I145" s="6" t="s">
        <v>201</v>
      </c>
      <c r="J145" s="6" t="s">
        <v>23</v>
      </c>
      <c r="K145" s="6" t="s">
        <v>18</v>
      </c>
      <c r="L145" s="6" t="s">
        <v>32</v>
      </c>
    </row>
    <row r="146" spans="1:12">
      <c r="A146">
        <v>1145</v>
      </c>
      <c r="B146" s="7" t="s">
        <v>63</v>
      </c>
      <c r="C146" s="8" t="s">
        <v>13</v>
      </c>
      <c r="D146" s="8">
        <v>35</v>
      </c>
      <c r="E146" s="8" t="s">
        <v>47</v>
      </c>
      <c r="F146" s="8" t="s">
        <v>48</v>
      </c>
      <c r="G146" s="8">
        <v>47683</v>
      </c>
      <c r="H146" s="8">
        <v>6</v>
      </c>
      <c r="I146" s="8" t="s">
        <v>202</v>
      </c>
      <c r="J146" s="8" t="s">
        <v>46</v>
      </c>
      <c r="K146" s="8" t="s">
        <v>18</v>
      </c>
      <c r="L146" s="8" t="s">
        <v>52</v>
      </c>
    </row>
    <row r="147" spans="1:12">
      <c r="A147">
        <v>1146</v>
      </c>
      <c r="B147" s="5" t="s">
        <v>63</v>
      </c>
      <c r="C147" s="6" t="s">
        <v>13</v>
      </c>
      <c r="D147" s="6">
        <v>38</v>
      </c>
      <c r="E147" s="6" t="s">
        <v>64</v>
      </c>
      <c r="F147" s="6" t="s">
        <v>82</v>
      </c>
      <c r="G147" s="6">
        <v>34770</v>
      </c>
      <c r="H147" s="6">
        <v>11</v>
      </c>
      <c r="I147" s="6" t="s">
        <v>203</v>
      </c>
      <c r="J147" s="6" t="s">
        <v>23</v>
      </c>
      <c r="K147" s="6" t="s">
        <v>55</v>
      </c>
      <c r="L147" s="6" t="s">
        <v>52</v>
      </c>
    </row>
    <row r="148" spans="1:12">
      <c r="A148">
        <v>1147</v>
      </c>
      <c r="B148" s="7" t="s">
        <v>63</v>
      </c>
      <c r="C148" s="8" t="s">
        <v>13</v>
      </c>
      <c r="D148" s="8">
        <v>33</v>
      </c>
      <c r="E148" s="8" t="s">
        <v>27</v>
      </c>
      <c r="F148" s="8" t="s">
        <v>61</v>
      </c>
      <c r="G148" s="8">
        <v>93690</v>
      </c>
      <c r="H148" s="8">
        <v>6</v>
      </c>
      <c r="I148" s="8" t="s">
        <v>204</v>
      </c>
      <c r="J148" s="8" t="s">
        <v>46</v>
      </c>
      <c r="K148" s="8" t="s">
        <v>55</v>
      </c>
      <c r="L148" s="8" t="s">
        <v>52</v>
      </c>
    </row>
    <row r="149" spans="1:12">
      <c r="A149">
        <v>1148</v>
      </c>
      <c r="B149" s="5" t="s">
        <v>71</v>
      </c>
      <c r="C149" s="6" t="s">
        <v>13</v>
      </c>
      <c r="D149" s="6">
        <v>36</v>
      </c>
      <c r="E149" s="6" t="s">
        <v>47</v>
      </c>
      <c r="F149" s="6" t="s">
        <v>48</v>
      </c>
      <c r="G149" s="6">
        <v>64409</v>
      </c>
      <c r="H149" s="6">
        <v>14</v>
      </c>
      <c r="I149" s="6" t="s">
        <v>205</v>
      </c>
      <c r="J149" s="6" t="s">
        <v>50</v>
      </c>
      <c r="K149" s="6" t="s">
        <v>18</v>
      </c>
      <c r="L149" s="6" t="s">
        <v>19</v>
      </c>
    </row>
    <row r="150" spans="1:12">
      <c r="A150">
        <v>1149</v>
      </c>
      <c r="B150" s="7" t="s">
        <v>85</v>
      </c>
      <c r="C150" s="8" t="s">
        <v>13</v>
      </c>
      <c r="D150" s="8">
        <v>40</v>
      </c>
      <c r="E150" s="8" t="s">
        <v>35</v>
      </c>
      <c r="F150" s="8" t="s">
        <v>36</v>
      </c>
      <c r="G150" s="8">
        <v>43655</v>
      </c>
      <c r="H150" s="8">
        <v>11</v>
      </c>
      <c r="I150" s="8" t="s">
        <v>206</v>
      </c>
      <c r="J150" s="8" t="s">
        <v>46</v>
      </c>
      <c r="K150" s="8" t="s">
        <v>55</v>
      </c>
      <c r="L150" s="8" t="s">
        <v>68</v>
      </c>
    </row>
    <row r="151" spans="1:12">
      <c r="A151">
        <v>1150</v>
      </c>
      <c r="B151" s="5" t="s">
        <v>71</v>
      </c>
      <c r="C151" s="6" t="s">
        <v>13</v>
      </c>
      <c r="D151" s="6">
        <v>36</v>
      </c>
      <c r="E151" s="6" t="s">
        <v>14</v>
      </c>
      <c r="F151" s="6" t="s">
        <v>15</v>
      </c>
      <c r="G151" s="6">
        <v>50662</v>
      </c>
      <c r="H151" s="6">
        <v>14</v>
      </c>
      <c r="I151" s="6" t="s">
        <v>207</v>
      </c>
      <c r="J151" s="6" t="s">
        <v>46</v>
      </c>
      <c r="K151" s="6" t="s">
        <v>18</v>
      </c>
      <c r="L151" s="6" t="s">
        <v>32</v>
      </c>
    </row>
    <row r="152" spans="1:12">
      <c r="A152">
        <v>1151</v>
      </c>
      <c r="B152" s="7" t="s">
        <v>85</v>
      </c>
      <c r="C152" s="8" t="s">
        <v>26</v>
      </c>
      <c r="D152" s="8">
        <v>23</v>
      </c>
      <c r="E152" s="8" t="s">
        <v>47</v>
      </c>
      <c r="F152" s="8" t="s">
        <v>69</v>
      </c>
      <c r="G152" s="8">
        <v>102336</v>
      </c>
      <c r="H152" s="8">
        <v>3</v>
      </c>
      <c r="I152" s="8" t="s">
        <v>208</v>
      </c>
      <c r="J152" s="8" t="s">
        <v>46</v>
      </c>
      <c r="K152" s="8" t="s">
        <v>18</v>
      </c>
      <c r="L152" s="8" t="s">
        <v>68</v>
      </c>
    </row>
    <row r="153" spans="1:12">
      <c r="A153">
        <v>1152</v>
      </c>
      <c r="B153" s="5" t="s">
        <v>100</v>
      </c>
      <c r="C153" s="6" t="s">
        <v>13</v>
      </c>
      <c r="D153" s="6">
        <v>26</v>
      </c>
      <c r="E153" s="6" t="s">
        <v>47</v>
      </c>
      <c r="F153" s="6" t="s">
        <v>69</v>
      </c>
      <c r="G153" s="6">
        <v>54347</v>
      </c>
      <c r="H153" s="6">
        <v>6</v>
      </c>
      <c r="I153" s="6" t="s">
        <v>209</v>
      </c>
      <c r="J153" s="6" t="s">
        <v>23</v>
      </c>
      <c r="K153" s="6" t="s">
        <v>18</v>
      </c>
      <c r="L153" s="6" t="s">
        <v>24</v>
      </c>
    </row>
    <row r="154" spans="1:12">
      <c r="A154">
        <v>1153</v>
      </c>
      <c r="B154" s="7" t="s">
        <v>92</v>
      </c>
      <c r="C154" s="8" t="s">
        <v>13</v>
      </c>
      <c r="D154" s="8">
        <v>30</v>
      </c>
      <c r="E154" s="8" t="s">
        <v>35</v>
      </c>
      <c r="F154" s="8" t="s">
        <v>103</v>
      </c>
      <c r="G154" s="8">
        <v>108952</v>
      </c>
      <c r="H154" s="8">
        <v>9</v>
      </c>
      <c r="I154" s="8" t="s">
        <v>210</v>
      </c>
      <c r="J154" s="8" t="s">
        <v>50</v>
      </c>
      <c r="K154" s="8" t="s">
        <v>18</v>
      </c>
      <c r="L154" s="8" t="s">
        <v>52</v>
      </c>
    </row>
    <row r="155" spans="1:12">
      <c r="A155">
        <v>1154</v>
      </c>
      <c r="B155" s="5" t="s">
        <v>12</v>
      </c>
      <c r="C155" s="6" t="s">
        <v>26</v>
      </c>
      <c r="D155" s="6">
        <v>32</v>
      </c>
      <c r="E155" s="6" t="s">
        <v>35</v>
      </c>
      <c r="F155" s="6" t="s">
        <v>103</v>
      </c>
      <c r="G155" s="6">
        <v>114034</v>
      </c>
      <c r="H155" s="6">
        <v>4</v>
      </c>
      <c r="I155" s="6" t="s">
        <v>211</v>
      </c>
      <c r="J155" s="6" t="s">
        <v>50</v>
      </c>
      <c r="K155" s="6" t="s">
        <v>18</v>
      </c>
      <c r="L155" s="6" t="s">
        <v>19</v>
      </c>
    </row>
    <row r="156" spans="1:12">
      <c r="A156">
        <v>1155</v>
      </c>
      <c r="B156" s="7" t="s">
        <v>33</v>
      </c>
      <c r="C156" s="8" t="s">
        <v>26</v>
      </c>
      <c r="D156" s="8">
        <v>39</v>
      </c>
      <c r="E156" s="8" t="s">
        <v>47</v>
      </c>
      <c r="F156" s="8" t="s">
        <v>69</v>
      </c>
      <c r="G156" s="8">
        <v>77167</v>
      </c>
      <c r="H156" s="8">
        <v>14</v>
      </c>
      <c r="I156" s="8" t="s">
        <v>212</v>
      </c>
      <c r="J156" s="8" t="s">
        <v>17</v>
      </c>
      <c r="K156" s="8" t="s">
        <v>55</v>
      </c>
      <c r="L156" s="8" t="s">
        <v>32</v>
      </c>
    </row>
    <row r="157" spans="1:12">
      <c r="A157">
        <v>1156</v>
      </c>
      <c r="B157" s="5" t="s">
        <v>60</v>
      </c>
      <c r="C157" s="6" t="s">
        <v>26</v>
      </c>
      <c r="D157" s="6">
        <v>28</v>
      </c>
      <c r="E157" s="6" t="s">
        <v>14</v>
      </c>
      <c r="F157" s="6" t="s">
        <v>15</v>
      </c>
      <c r="G157" s="6">
        <v>84206</v>
      </c>
      <c r="H157" s="6">
        <v>1</v>
      </c>
      <c r="I157" s="6" t="s">
        <v>213</v>
      </c>
      <c r="J157" s="6" t="s">
        <v>23</v>
      </c>
      <c r="K157" s="6" t="s">
        <v>18</v>
      </c>
      <c r="L157" s="6" t="s">
        <v>52</v>
      </c>
    </row>
    <row r="158" spans="1:12">
      <c r="A158">
        <v>1157</v>
      </c>
      <c r="B158" s="7" t="s">
        <v>100</v>
      </c>
      <c r="C158" s="8" t="s">
        <v>26</v>
      </c>
      <c r="D158" s="8">
        <v>32</v>
      </c>
      <c r="E158" s="8" t="s">
        <v>27</v>
      </c>
      <c r="F158" s="8" t="s">
        <v>61</v>
      </c>
      <c r="G158" s="8">
        <v>106637</v>
      </c>
      <c r="H158" s="8">
        <v>11</v>
      </c>
      <c r="I158" s="8" t="s">
        <v>214</v>
      </c>
      <c r="J158" s="8" t="s">
        <v>17</v>
      </c>
      <c r="K158" s="8" t="s">
        <v>18</v>
      </c>
      <c r="L158" s="8" t="s">
        <v>32</v>
      </c>
    </row>
    <row r="159" spans="1:12">
      <c r="A159">
        <v>1158</v>
      </c>
      <c r="B159" s="5" t="s">
        <v>71</v>
      </c>
      <c r="C159" s="6" t="s">
        <v>13</v>
      </c>
      <c r="D159" s="6">
        <v>31</v>
      </c>
      <c r="E159" s="6" t="s">
        <v>64</v>
      </c>
      <c r="F159" s="6" t="s">
        <v>82</v>
      </c>
      <c r="G159" s="6">
        <v>63081</v>
      </c>
      <c r="H159" s="6">
        <v>10</v>
      </c>
      <c r="I159" s="6" t="s">
        <v>215</v>
      </c>
      <c r="J159" s="6" t="s">
        <v>50</v>
      </c>
      <c r="K159" s="6" t="s">
        <v>18</v>
      </c>
      <c r="L159" s="6" t="s">
        <v>19</v>
      </c>
    </row>
    <row r="160" spans="1:12">
      <c r="A160">
        <v>1159</v>
      </c>
      <c r="B160" s="7" t="s">
        <v>153</v>
      </c>
      <c r="C160" s="8" t="s">
        <v>26</v>
      </c>
      <c r="D160" s="8">
        <v>23</v>
      </c>
      <c r="E160" s="8" t="s">
        <v>43</v>
      </c>
      <c r="F160" s="8" t="s">
        <v>44</v>
      </c>
      <c r="G160" s="8">
        <v>33895</v>
      </c>
      <c r="H160" s="8">
        <v>1</v>
      </c>
      <c r="I160" s="8" t="s">
        <v>216</v>
      </c>
      <c r="J160" s="8" t="s">
        <v>50</v>
      </c>
      <c r="K160" s="8" t="s">
        <v>55</v>
      </c>
      <c r="L160" s="8" t="s">
        <v>19</v>
      </c>
    </row>
    <row r="161" spans="1:12">
      <c r="A161">
        <v>1160</v>
      </c>
      <c r="B161" s="5" t="s">
        <v>25</v>
      </c>
      <c r="C161" s="6" t="s">
        <v>13</v>
      </c>
      <c r="D161" s="6">
        <v>27</v>
      </c>
      <c r="E161" s="6" t="s">
        <v>47</v>
      </c>
      <c r="F161" s="6" t="s">
        <v>48</v>
      </c>
      <c r="G161" s="6">
        <v>65019</v>
      </c>
      <c r="H161" s="6">
        <v>6</v>
      </c>
      <c r="I161" s="6" t="s">
        <v>217</v>
      </c>
      <c r="J161" s="6" t="s">
        <v>23</v>
      </c>
      <c r="K161" s="6" t="s">
        <v>18</v>
      </c>
      <c r="L161" s="6" t="s">
        <v>32</v>
      </c>
    </row>
    <row r="162" spans="1:12">
      <c r="A162">
        <v>1161</v>
      </c>
      <c r="B162" s="7" t="s">
        <v>78</v>
      </c>
      <c r="C162" s="8" t="s">
        <v>26</v>
      </c>
      <c r="D162" s="8">
        <v>31</v>
      </c>
      <c r="E162" s="8" t="s">
        <v>64</v>
      </c>
      <c r="F162" s="8" t="s">
        <v>65</v>
      </c>
      <c r="G162" s="8">
        <v>65298</v>
      </c>
      <c r="H162" s="8">
        <v>9</v>
      </c>
      <c r="I162" s="8" t="s">
        <v>218</v>
      </c>
      <c r="J162" s="8" t="s">
        <v>46</v>
      </c>
      <c r="K162" s="8" t="s">
        <v>18</v>
      </c>
      <c r="L162" s="8" t="s">
        <v>19</v>
      </c>
    </row>
    <row r="163" spans="1:12">
      <c r="A163">
        <v>1162</v>
      </c>
      <c r="B163" s="5" t="s">
        <v>111</v>
      </c>
      <c r="C163" s="6" t="s">
        <v>13</v>
      </c>
      <c r="D163" s="6">
        <v>21</v>
      </c>
      <c r="E163" s="6" t="s">
        <v>14</v>
      </c>
      <c r="F163" s="6" t="s">
        <v>21</v>
      </c>
      <c r="G163" s="6">
        <v>39104</v>
      </c>
      <c r="H163" s="6">
        <v>0</v>
      </c>
      <c r="I163" s="6" t="s">
        <v>219</v>
      </c>
      <c r="J163" s="6" t="s">
        <v>23</v>
      </c>
      <c r="K163" s="6" t="s">
        <v>55</v>
      </c>
      <c r="L163" s="6" t="s">
        <v>59</v>
      </c>
    </row>
    <row r="164" spans="1:12">
      <c r="A164">
        <v>1163</v>
      </c>
      <c r="B164" s="7" t="s">
        <v>30</v>
      </c>
      <c r="C164" s="8" t="s">
        <v>26</v>
      </c>
      <c r="D164" s="8">
        <v>25</v>
      </c>
      <c r="E164" s="8" t="s">
        <v>14</v>
      </c>
      <c r="F164" s="8" t="s">
        <v>21</v>
      </c>
      <c r="G164" s="8">
        <v>36195</v>
      </c>
      <c r="H164" s="8">
        <v>4</v>
      </c>
      <c r="I164" s="8" t="s">
        <v>220</v>
      </c>
      <c r="J164" s="8" t="s">
        <v>17</v>
      </c>
      <c r="K164" s="8" t="s">
        <v>18</v>
      </c>
      <c r="L164" s="8" t="s">
        <v>24</v>
      </c>
    </row>
    <row r="165" spans="1:12">
      <c r="A165">
        <v>1164</v>
      </c>
      <c r="B165" s="5" t="s">
        <v>111</v>
      </c>
      <c r="C165" s="6" t="s">
        <v>13</v>
      </c>
      <c r="D165" s="6">
        <v>30</v>
      </c>
      <c r="E165" s="6" t="s">
        <v>43</v>
      </c>
      <c r="F165" s="6" t="s">
        <v>44</v>
      </c>
      <c r="G165" s="6">
        <v>95666</v>
      </c>
      <c r="H165" s="6">
        <v>8</v>
      </c>
      <c r="I165" s="6" t="s">
        <v>221</v>
      </c>
      <c r="J165" s="6" t="s">
        <v>17</v>
      </c>
      <c r="K165" s="6" t="s">
        <v>18</v>
      </c>
      <c r="L165" s="6" t="s">
        <v>19</v>
      </c>
    </row>
    <row r="166" spans="1:12">
      <c r="A166">
        <v>1165</v>
      </c>
      <c r="B166" s="7" t="s">
        <v>57</v>
      </c>
      <c r="C166" s="8" t="s">
        <v>13</v>
      </c>
      <c r="D166" s="8">
        <v>30</v>
      </c>
      <c r="E166" s="8" t="s">
        <v>14</v>
      </c>
      <c r="F166" s="8" t="s">
        <v>15</v>
      </c>
      <c r="G166" s="8">
        <v>45308</v>
      </c>
      <c r="H166" s="8">
        <v>2</v>
      </c>
      <c r="I166" s="8" t="s">
        <v>222</v>
      </c>
      <c r="J166" s="8" t="s">
        <v>50</v>
      </c>
      <c r="K166" s="8" t="s">
        <v>18</v>
      </c>
      <c r="L166" s="8" t="s">
        <v>24</v>
      </c>
    </row>
    <row r="167" spans="1:12">
      <c r="A167">
        <v>1166</v>
      </c>
      <c r="B167" s="5" t="s">
        <v>71</v>
      </c>
      <c r="C167" s="6" t="s">
        <v>13</v>
      </c>
      <c r="D167" s="6">
        <v>27</v>
      </c>
      <c r="E167" s="6" t="s">
        <v>27</v>
      </c>
      <c r="F167" s="6" t="s">
        <v>28</v>
      </c>
      <c r="G167" s="6">
        <v>34106</v>
      </c>
      <c r="H167" s="6">
        <v>3</v>
      </c>
      <c r="I167" s="6" t="s">
        <v>223</v>
      </c>
      <c r="J167" s="6" t="s">
        <v>23</v>
      </c>
      <c r="K167" s="6" t="s">
        <v>55</v>
      </c>
      <c r="L167" s="6" t="s">
        <v>24</v>
      </c>
    </row>
    <row r="168" spans="1:12">
      <c r="A168">
        <v>1167</v>
      </c>
      <c r="B168" s="7" t="s">
        <v>40</v>
      </c>
      <c r="C168" s="8" t="s">
        <v>26</v>
      </c>
      <c r="D168" s="8">
        <v>22</v>
      </c>
      <c r="E168" s="8" t="s">
        <v>35</v>
      </c>
      <c r="F168" s="8" t="s">
        <v>103</v>
      </c>
      <c r="G168" s="8">
        <v>95631</v>
      </c>
      <c r="H168" s="8">
        <v>0</v>
      </c>
      <c r="I168" s="8" t="s">
        <v>224</v>
      </c>
      <c r="J168" s="8" t="s">
        <v>46</v>
      </c>
      <c r="K168" s="8" t="s">
        <v>18</v>
      </c>
      <c r="L168" s="8" t="s">
        <v>24</v>
      </c>
    </row>
    <row r="169" spans="1:12">
      <c r="A169">
        <v>1168</v>
      </c>
      <c r="B169" s="5" t="s">
        <v>57</v>
      </c>
      <c r="C169" s="6" t="s">
        <v>13</v>
      </c>
      <c r="D169" s="6">
        <v>32</v>
      </c>
      <c r="E169" s="6" t="s">
        <v>14</v>
      </c>
      <c r="F169" s="6" t="s">
        <v>21</v>
      </c>
      <c r="G169" s="6">
        <v>71688</v>
      </c>
      <c r="H169" s="6">
        <v>6</v>
      </c>
      <c r="I169" s="6" t="s">
        <v>225</v>
      </c>
      <c r="J169" s="6" t="s">
        <v>23</v>
      </c>
      <c r="K169" s="6" t="s">
        <v>18</v>
      </c>
      <c r="L169" s="6" t="s">
        <v>24</v>
      </c>
    </row>
    <row r="170" spans="1:12">
      <c r="A170">
        <v>1169</v>
      </c>
      <c r="B170" s="7" t="s">
        <v>60</v>
      </c>
      <c r="C170" s="8" t="s">
        <v>26</v>
      </c>
      <c r="D170" s="8">
        <v>39</v>
      </c>
      <c r="E170" s="8" t="s">
        <v>47</v>
      </c>
      <c r="F170" s="8" t="s">
        <v>48</v>
      </c>
      <c r="G170" s="8">
        <v>64191</v>
      </c>
      <c r="H170" s="8">
        <v>13</v>
      </c>
      <c r="I170" s="8" t="s">
        <v>226</v>
      </c>
      <c r="J170" s="8" t="s">
        <v>23</v>
      </c>
      <c r="K170" s="8" t="s">
        <v>18</v>
      </c>
      <c r="L170" s="8" t="s">
        <v>68</v>
      </c>
    </row>
    <row r="171" spans="1:12">
      <c r="A171">
        <v>1170</v>
      </c>
      <c r="B171" s="5" t="s">
        <v>12</v>
      </c>
      <c r="C171" s="6" t="s">
        <v>13</v>
      </c>
      <c r="D171" s="6">
        <v>36</v>
      </c>
      <c r="E171" s="6" t="s">
        <v>64</v>
      </c>
      <c r="F171" s="6" t="s">
        <v>65</v>
      </c>
      <c r="G171" s="6">
        <v>76677</v>
      </c>
      <c r="H171" s="6">
        <v>15</v>
      </c>
      <c r="I171" s="6" t="s">
        <v>227</v>
      </c>
      <c r="J171" s="6" t="s">
        <v>23</v>
      </c>
      <c r="K171" s="6" t="s">
        <v>18</v>
      </c>
      <c r="L171" s="6" t="s">
        <v>59</v>
      </c>
    </row>
    <row r="172" spans="1:12">
      <c r="A172">
        <v>1171</v>
      </c>
      <c r="B172" s="7" t="s">
        <v>85</v>
      </c>
      <c r="C172" s="8" t="s">
        <v>26</v>
      </c>
      <c r="D172" s="8">
        <v>25</v>
      </c>
      <c r="E172" s="8" t="s">
        <v>47</v>
      </c>
      <c r="F172" s="8" t="s">
        <v>69</v>
      </c>
      <c r="G172" s="8">
        <v>53762</v>
      </c>
      <c r="H172" s="8">
        <v>5</v>
      </c>
      <c r="I172" s="8" t="s">
        <v>228</v>
      </c>
      <c r="J172" s="8" t="s">
        <v>17</v>
      </c>
      <c r="K172" s="8" t="s">
        <v>18</v>
      </c>
      <c r="L172" s="8" t="s">
        <v>19</v>
      </c>
    </row>
    <row r="173" spans="1:12">
      <c r="A173">
        <v>1172</v>
      </c>
      <c r="B173" s="5" t="s">
        <v>111</v>
      </c>
      <c r="C173" s="6" t="s">
        <v>13</v>
      </c>
      <c r="D173" s="6">
        <v>37</v>
      </c>
      <c r="E173" s="6" t="s">
        <v>47</v>
      </c>
      <c r="F173" s="6" t="s">
        <v>48</v>
      </c>
      <c r="G173" s="6">
        <v>103044</v>
      </c>
      <c r="H173" s="6">
        <v>9</v>
      </c>
      <c r="I173" s="6" t="s">
        <v>229</v>
      </c>
      <c r="J173" s="6" t="s">
        <v>17</v>
      </c>
      <c r="K173" s="6" t="s">
        <v>18</v>
      </c>
      <c r="L173" s="6" t="s">
        <v>19</v>
      </c>
    </row>
    <row r="174" spans="1:12">
      <c r="A174">
        <v>1173</v>
      </c>
      <c r="B174" s="7" t="s">
        <v>60</v>
      </c>
      <c r="C174" s="8" t="s">
        <v>13</v>
      </c>
      <c r="D174" s="8">
        <v>34</v>
      </c>
      <c r="E174" s="8" t="s">
        <v>27</v>
      </c>
      <c r="F174" s="8" t="s">
        <v>28</v>
      </c>
      <c r="G174" s="8">
        <v>103687</v>
      </c>
      <c r="H174" s="8">
        <v>5</v>
      </c>
      <c r="I174" s="8" t="s">
        <v>230</v>
      </c>
      <c r="J174" s="8" t="s">
        <v>23</v>
      </c>
      <c r="K174" s="8" t="s">
        <v>55</v>
      </c>
      <c r="L174" s="8" t="s">
        <v>24</v>
      </c>
    </row>
    <row r="175" spans="1:12">
      <c r="A175">
        <v>1174</v>
      </c>
      <c r="B175" s="5" t="s">
        <v>30</v>
      </c>
      <c r="C175" s="6" t="s">
        <v>26</v>
      </c>
      <c r="D175" s="6">
        <v>31</v>
      </c>
      <c r="E175" s="6" t="s">
        <v>64</v>
      </c>
      <c r="F175" s="6" t="s">
        <v>65</v>
      </c>
      <c r="G175" s="6">
        <v>88777</v>
      </c>
      <c r="H175" s="6">
        <v>4</v>
      </c>
      <c r="I175" s="6" t="s">
        <v>231</v>
      </c>
      <c r="J175" s="6" t="s">
        <v>23</v>
      </c>
      <c r="K175" s="6" t="s">
        <v>18</v>
      </c>
      <c r="L175" s="6" t="s">
        <v>19</v>
      </c>
    </row>
    <row r="176" spans="1:12">
      <c r="A176">
        <v>1175</v>
      </c>
      <c r="B176" s="7" t="s">
        <v>12</v>
      </c>
      <c r="C176" s="8" t="s">
        <v>13</v>
      </c>
      <c r="D176" s="8">
        <v>34</v>
      </c>
      <c r="E176" s="8" t="s">
        <v>14</v>
      </c>
      <c r="F176" s="8" t="s">
        <v>21</v>
      </c>
      <c r="G176" s="8">
        <v>41255</v>
      </c>
      <c r="H176" s="8">
        <v>13</v>
      </c>
      <c r="I176" s="8" t="s">
        <v>232</v>
      </c>
      <c r="J176" s="8" t="s">
        <v>17</v>
      </c>
      <c r="K176" s="8" t="s">
        <v>18</v>
      </c>
      <c r="L176" s="8" t="s">
        <v>19</v>
      </c>
    </row>
    <row r="177" spans="1:12">
      <c r="A177">
        <v>1176</v>
      </c>
      <c r="B177" s="5" t="s">
        <v>100</v>
      </c>
      <c r="C177" s="6" t="s">
        <v>13</v>
      </c>
      <c r="D177" s="6">
        <v>25</v>
      </c>
      <c r="E177" s="6" t="s">
        <v>27</v>
      </c>
      <c r="F177" s="6" t="s">
        <v>28</v>
      </c>
      <c r="G177" s="6">
        <v>39337</v>
      </c>
      <c r="H177" s="6">
        <v>3</v>
      </c>
      <c r="I177" s="6" t="s">
        <v>125</v>
      </c>
      <c r="J177" s="6" t="s">
        <v>23</v>
      </c>
      <c r="K177" s="6" t="s">
        <v>18</v>
      </c>
      <c r="L177" s="6" t="s">
        <v>24</v>
      </c>
    </row>
    <row r="178" spans="1:12">
      <c r="A178">
        <v>1177</v>
      </c>
      <c r="B178" s="7" t="s">
        <v>63</v>
      </c>
      <c r="C178" s="8" t="s">
        <v>13</v>
      </c>
      <c r="D178" s="8">
        <v>23</v>
      </c>
      <c r="E178" s="8" t="s">
        <v>27</v>
      </c>
      <c r="F178" s="8" t="s">
        <v>38</v>
      </c>
      <c r="G178" s="8">
        <v>65894</v>
      </c>
      <c r="H178" s="8">
        <v>3</v>
      </c>
      <c r="I178" s="8" t="s">
        <v>233</v>
      </c>
      <c r="J178" s="8" t="s">
        <v>50</v>
      </c>
      <c r="K178" s="8" t="s">
        <v>18</v>
      </c>
      <c r="L178" s="8" t="s">
        <v>52</v>
      </c>
    </row>
    <row r="179" spans="1:12">
      <c r="A179">
        <v>1178</v>
      </c>
      <c r="B179" s="5" t="s">
        <v>30</v>
      </c>
      <c r="C179" s="6" t="s">
        <v>13</v>
      </c>
      <c r="D179" s="6">
        <v>30</v>
      </c>
      <c r="E179" s="6" t="s">
        <v>43</v>
      </c>
      <c r="F179" s="6" t="s">
        <v>44</v>
      </c>
      <c r="G179" s="6">
        <v>73774</v>
      </c>
      <c r="H179" s="6">
        <v>10</v>
      </c>
      <c r="I179" s="6" t="s">
        <v>234</v>
      </c>
      <c r="J179" s="6" t="s">
        <v>46</v>
      </c>
      <c r="K179" s="6" t="s">
        <v>18</v>
      </c>
      <c r="L179" s="6" t="s">
        <v>19</v>
      </c>
    </row>
    <row r="180" spans="1:12">
      <c r="A180">
        <v>1179</v>
      </c>
      <c r="B180" s="7" t="s">
        <v>111</v>
      </c>
      <c r="C180" s="8" t="s">
        <v>13</v>
      </c>
      <c r="D180" s="8">
        <v>31</v>
      </c>
      <c r="E180" s="8" t="s">
        <v>64</v>
      </c>
      <c r="F180" s="8" t="s">
        <v>65</v>
      </c>
      <c r="G180" s="8">
        <v>41358</v>
      </c>
      <c r="H180" s="8">
        <v>6</v>
      </c>
      <c r="I180" s="8" t="s">
        <v>235</v>
      </c>
      <c r="J180" s="8" t="s">
        <v>23</v>
      </c>
      <c r="K180" s="8" t="s">
        <v>18</v>
      </c>
      <c r="L180" s="8" t="s">
        <v>32</v>
      </c>
    </row>
    <row r="181" spans="1:12">
      <c r="A181">
        <v>1180</v>
      </c>
      <c r="B181" s="5" t="s">
        <v>53</v>
      </c>
      <c r="C181" s="6" t="s">
        <v>26</v>
      </c>
      <c r="D181" s="6">
        <v>27</v>
      </c>
      <c r="E181" s="6" t="s">
        <v>64</v>
      </c>
      <c r="F181" s="6" t="s">
        <v>82</v>
      </c>
      <c r="G181" s="6">
        <v>78873</v>
      </c>
      <c r="H181" s="6">
        <v>7</v>
      </c>
      <c r="I181" s="6" t="s">
        <v>236</v>
      </c>
      <c r="J181" s="6" t="s">
        <v>23</v>
      </c>
      <c r="K181" s="6" t="s">
        <v>18</v>
      </c>
      <c r="L181" s="6" t="s">
        <v>24</v>
      </c>
    </row>
    <row r="182" spans="1:12">
      <c r="A182">
        <v>1181</v>
      </c>
      <c r="B182" s="7" t="s">
        <v>71</v>
      </c>
      <c r="C182" s="8" t="s">
        <v>13</v>
      </c>
      <c r="D182" s="8">
        <v>44</v>
      </c>
      <c r="E182" s="8" t="s">
        <v>47</v>
      </c>
      <c r="F182" s="8" t="s">
        <v>69</v>
      </c>
      <c r="G182" s="8">
        <v>82707</v>
      </c>
      <c r="H182" s="8">
        <v>15</v>
      </c>
      <c r="I182" s="8" t="s">
        <v>145</v>
      </c>
      <c r="J182" s="8" t="s">
        <v>50</v>
      </c>
      <c r="K182" s="8" t="s">
        <v>18</v>
      </c>
      <c r="L182" s="8" t="s">
        <v>24</v>
      </c>
    </row>
    <row r="183" spans="1:12">
      <c r="A183">
        <v>1182</v>
      </c>
      <c r="B183" s="5" t="s">
        <v>25</v>
      </c>
      <c r="C183" s="6" t="s">
        <v>26</v>
      </c>
      <c r="D183" s="6">
        <v>31</v>
      </c>
      <c r="E183" s="6" t="s">
        <v>43</v>
      </c>
      <c r="F183" s="6" t="s">
        <v>88</v>
      </c>
      <c r="G183" s="6">
        <v>100934</v>
      </c>
      <c r="H183" s="6">
        <v>9</v>
      </c>
      <c r="I183" s="6" t="s">
        <v>237</v>
      </c>
      <c r="J183" s="6" t="s">
        <v>17</v>
      </c>
      <c r="K183" s="6" t="s">
        <v>18</v>
      </c>
      <c r="L183" s="6" t="s">
        <v>24</v>
      </c>
    </row>
    <row r="184" spans="1:12">
      <c r="A184">
        <v>1183</v>
      </c>
      <c r="B184" s="7" t="s">
        <v>63</v>
      </c>
      <c r="C184" s="8" t="s">
        <v>13</v>
      </c>
      <c r="D184" s="8">
        <v>33</v>
      </c>
      <c r="E184" s="8" t="s">
        <v>27</v>
      </c>
      <c r="F184" s="8" t="s">
        <v>28</v>
      </c>
      <c r="G184" s="8">
        <v>108103</v>
      </c>
      <c r="H184" s="8">
        <v>7</v>
      </c>
      <c r="I184" s="8" t="s">
        <v>238</v>
      </c>
      <c r="J184" s="8" t="s">
        <v>50</v>
      </c>
      <c r="K184" s="8" t="s">
        <v>18</v>
      </c>
      <c r="L184" s="8" t="s">
        <v>32</v>
      </c>
    </row>
    <row r="185" spans="1:12">
      <c r="A185">
        <v>1184</v>
      </c>
      <c r="B185" s="5" t="s">
        <v>100</v>
      </c>
      <c r="C185" s="6" t="s">
        <v>26</v>
      </c>
      <c r="D185" s="6">
        <v>40</v>
      </c>
      <c r="E185" s="6" t="s">
        <v>47</v>
      </c>
      <c r="F185" s="6" t="s">
        <v>69</v>
      </c>
      <c r="G185" s="6">
        <v>37707</v>
      </c>
      <c r="H185" s="6">
        <v>13</v>
      </c>
      <c r="I185" s="6" t="s">
        <v>239</v>
      </c>
      <c r="J185" s="6" t="s">
        <v>17</v>
      </c>
      <c r="K185" s="6" t="s">
        <v>18</v>
      </c>
      <c r="L185" s="6" t="s">
        <v>52</v>
      </c>
    </row>
    <row r="186" spans="1:12">
      <c r="A186">
        <v>1185</v>
      </c>
      <c r="B186" s="7" t="s">
        <v>12</v>
      </c>
      <c r="C186" s="8" t="s">
        <v>13</v>
      </c>
      <c r="D186" s="8">
        <v>24</v>
      </c>
      <c r="E186" s="8" t="s">
        <v>14</v>
      </c>
      <c r="F186" s="8" t="s">
        <v>21</v>
      </c>
      <c r="G186" s="8">
        <v>83106</v>
      </c>
      <c r="H186" s="8">
        <v>2</v>
      </c>
      <c r="I186" s="8" t="s">
        <v>37</v>
      </c>
      <c r="J186" s="8" t="s">
        <v>17</v>
      </c>
      <c r="K186" s="8" t="s">
        <v>18</v>
      </c>
      <c r="L186" s="8" t="s">
        <v>24</v>
      </c>
    </row>
    <row r="187" spans="1:12">
      <c r="A187">
        <v>1186</v>
      </c>
      <c r="B187" s="5" t="s">
        <v>30</v>
      </c>
      <c r="C187" s="6" t="s">
        <v>13</v>
      </c>
      <c r="D187" s="6">
        <v>35</v>
      </c>
      <c r="E187" s="6" t="s">
        <v>14</v>
      </c>
      <c r="F187" s="6" t="s">
        <v>15</v>
      </c>
      <c r="G187" s="6">
        <v>106238</v>
      </c>
      <c r="H187" s="6">
        <v>8</v>
      </c>
      <c r="I187" s="6" t="s">
        <v>240</v>
      </c>
      <c r="J187" s="6" t="s">
        <v>46</v>
      </c>
      <c r="K187" s="6" t="s">
        <v>18</v>
      </c>
      <c r="L187" s="6" t="s">
        <v>52</v>
      </c>
    </row>
    <row r="188" spans="1:12">
      <c r="A188">
        <v>1187</v>
      </c>
      <c r="B188" s="7" t="s">
        <v>42</v>
      </c>
      <c r="C188" s="8" t="s">
        <v>13</v>
      </c>
      <c r="D188" s="8">
        <v>33</v>
      </c>
      <c r="E188" s="8" t="s">
        <v>43</v>
      </c>
      <c r="F188" s="8" t="s">
        <v>44</v>
      </c>
      <c r="G188" s="8">
        <v>84807</v>
      </c>
      <c r="H188" s="8">
        <v>10</v>
      </c>
      <c r="I188" s="8" t="s">
        <v>241</v>
      </c>
      <c r="J188" s="8" t="s">
        <v>17</v>
      </c>
      <c r="K188" s="8" t="s">
        <v>18</v>
      </c>
      <c r="L188" s="8" t="s">
        <v>24</v>
      </c>
    </row>
    <row r="189" spans="1:12">
      <c r="A189">
        <v>1188</v>
      </c>
      <c r="B189" s="5" t="s">
        <v>73</v>
      </c>
      <c r="C189" s="6" t="s">
        <v>26</v>
      </c>
      <c r="D189" s="6">
        <v>44</v>
      </c>
      <c r="E189" s="6" t="s">
        <v>43</v>
      </c>
      <c r="F189" s="6" t="s">
        <v>88</v>
      </c>
      <c r="G189" s="6">
        <v>70025</v>
      </c>
      <c r="H189" s="6">
        <v>14</v>
      </c>
      <c r="I189" s="6" t="s">
        <v>242</v>
      </c>
      <c r="J189" s="6" t="s">
        <v>50</v>
      </c>
      <c r="K189" s="6" t="s">
        <v>18</v>
      </c>
      <c r="L189" s="6" t="s">
        <v>59</v>
      </c>
    </row>
    <row r="190" spans="1:12">
      <c r="A190">
        <v>1189</v>
      </c>
      <c r="B190" s="7" t="s">
        <v>53</v>
      </c>
      <c r="C190" s="8" t="s">
        <v>13</v>
      </c>
      <c r="D190" s="8">
        <v>34</v>
      </c>
      <c r="E190" s="8" t="s">
        <v>43</v>
      </c>
      <c r="F190" s="8" t="s">
        <v>88</v>
      </c>
      <c r="G190" s="8">
        <v>39624</v>
      </c>
      <c r="H190" s="8">
        <v>10</v>
      </c>
      <c r="I190" s="8" t="s">
        <v>243</v>
      </c>
      <c r="J190" s="8" t="s">
        <v>50</v>
      </c>
      <c r="K190" s="8" t="s">
        <v>18</v>
      </c>
      <c r="L190" s="8" t="s">
        <v>52</v>
      </c>
    </row>
    <row r="191" spans="1:12">
      <c r="A191">
        <v>1190</v>
      </c>
      <c r="B191" s="5" t="s">
        <v>92</v>
      </c>
      <c r="C191" s="6" t="s">
        <v>26</v>
      </c>
      <c r="D191" s="6">
        <v>33</v>
      </c>
      <c r="E191" s="6" t="s">
        <v>35</v>
      </c>
      <c r="F191" s="6" t="s">
        <v>36</v>
      </c>
      <c r="G191" s="6">
        <v>99916</v>
      </c>
      <c r="H191" s="6">
        <v>6</v>
      </c>
      <c r="I191" s="6" t="s">
        <v>244</v>
      </c>
      <c r="J191" s="6" t="s">
        <v>17</v>
      </c>
      <c r="K191" s="6" t="s">
        <v>55</v>
      </c>
      <c r="L191" s="6" t="s">
        <v>24</v>
      </c>
    </row>
    <row r="192" spans="1:12">
      <c r="A192">
        <v>1191</v>
      </c>
      <c r="B192" s="7" t="s">
        <v>100</v>
      </c>
      <c r="C192" s="8" t="s">
        <v>26</v>
      </c>
      <c r="D192" s="8">
        <v>32</v>
      </c>
      <c r="E192" s="8" t="s">
        <v>43</v>
      </c>
      <c r="F192" s="8" t="s">
        <v>88</v>
      </c>
      <c r="G192" s="8">
        <v>88082</v>
      </c>
      <c r="H192" s="8">
        <v>12</v>
      </c>
      <c r="I192" s="8" t="s">
        <v>230</v>
      </c>
      <c r="J192" s="8" t="s">
        <v>46</v>
      </c>
      <c r="K192" s="8" t="s">
        <v>18</v>
      </c>
      <c r="L192" s="8" t="s">
        <v>19</v>
      </c>
    </row>
    <row r="193" spans="1:12">
      <c r="A193">
        <v>1192</v>
      </c>
      <c r="B193" s="5" t="s">
        <v>60</v>
      </c>
      <c r="C193" s="6" t="s">
        <v>26</v>
      </c>
      <c r="D193" s="6">
        <v>34</v>
      </c>
      <c r="E193" s="6" t="s">
        <v>14</v>
      </c>
      <c r="F193" s="6" t="s">
        <v>15</v>
      </c>
      <c r="G193" s="6">
        <v>56199</v>
      </c>
      <c r="H193" s="6">
        <v>10</v>
      </c>
      <c r="I193" s="6" t="s">
        <v>245</v>
      </c>
      <c r="J193" s="6" t="s">
        <v>46</v>
      </c>
      <c r="K193" s="6" t="s">
        <v>18</v>
      </c>
      <c r="L193" s="6" t="s">
        <v>59</v>
      </c>
    </row>
    <row r="194" spans="1:12">
      <c r="A194">
        <v>1193</v>
      </c>
      <c r="B194" s="7" t="s">
        <v>33</v>
      </c>
      <c r="C194" s="8" t="s">
        <v>26</v>
      </c>
      <c r="D194" s="8">
        <v>40</v>
      </c>
      <c r="E194" s="8" t="s">
        <v>14</v>
      </c>
      <c r="F194" s="8" t="s">
        <v>21</v>
      </c>
      <c r="G194" s="8">
        <v>99551</v>
      </c>
      <c r="H194" s="8">
        <v>13</v>
      </c>
      <c r="I194" s="8" t="s">
        <v>246</v>
      </c>
      <c r="J194" s="8" t="s">
        <v>46</v>
      </c>
      <c r="K194" s="8" t="s">
        <v>18</v>
      </c>
      <c r="L194" s="8" t="s">
        <v>19</v>
      </c>
    </row>
    <row r="195" spans="1:12">
      <c r="A195">
        <v>1194</v>
      </c>
      <c r="B195" s="5" t="s">
        <v>25</v>
      </c>
      <c r="C195" s="6" t="s">
        <v>13</v>
      </c>
      <c r="D195" s="6">
        <v>32</v>
      </c>
      <c r="E195" s="6" t="s">
        <v>35</v>
      </c>
      <c r="F195" s="6" t="s">
        <v>36</v>
      </c>
      <c r="G195" s="6">
        <v>95121</v>
      </c>
      <c r="H195" s="6">
        <v>10</v>
      </c>
      <c r="I195" s="6" t="s">
        <v>247</v>
      </c>
      <c r="J195" s="6" t="s">
        <v>23</v>
      </c>
      <c r="K195" s="6" t="s">
        <v>55</v>
      </c>
      <c r="L195" s="6" t="s">
        <v>32</v>
      </c>
    </row>
    <row r="196" spans="1:12">
      <c r="A196">
        <v>1195</v>
      </c>
      <c r="B196" s="7" t="s">
        <v>42</v>
      </c>
      <c r="C196" s="8" t="s">
        <v>13</v>
      </c>
      <c r="D196" s="8">
        <v>32</v>
      </c>
      <c r="E196" s="8" t="s">
        <v>47</v>
      </c>
      <c r="F196" s="8" t="s">
        <v>69</v>
      </c>
      <c r="G196" s="8">
        <v>45982</v>
      </c>
      <c r="H196" s="8">
        <v>7</v>
      </c>
      <c r="I196" s="8" t="s">
        <v>248</v>
      </c>
      <c r="J196" s="8" t="s">
        <v>46</v>
      </c>
      <c r="K196" s="8" t="s">
        <v>18</v>
      </c>
      <c r="L196" s="8" t="s">
        <v>32</v>
      </c>
    </row>
    <row r="197" spans="1:12">
      <c r="A197">
        <v>1196</v>
      </c>
      <c r="B197" s="5" t="s">
        <v>78</v>
      </c>
      <c r="C197" s="6" t="s">
        <v>26</v>
      </c>
      <c r="D197" s="6">
        <v>25</v>
      </c>
      <c r="E197" s="6" t="s">
        <v>14</v>
      </c>
      <c r="F197" s="6" t="s">
        <v>15</v>
      </c>
      <c r="G197" s="6">
        <v>111335</v>
      </c>
      <c r="H197" s="6">
        <v>2</v>
      </c>
      <c r="I197" s="6" t="s">
        <v>249</v>
      </c>
      <c r="J197" s="6" t="s">
        <v>17</v>
      </c>
      <c r="K197" s="6" t="s">
        <v>18</v>
      </c>
      <c r="L197" s="6" t="s">
        <v>24</v>
      </c>
    </row>
    <row r="198" spans="1:12">
      <c r="A198">
        <v>1197</v>
      </c>
      <c r="B198" s="7" t="s">
        <v>30</v>
      </c>
      <c r="C198" s="8" t="s">
        <v>26</v>
      </c>
      <c r="D198" s="8">
        <v>40</v>
      </c>
      <c r="E198" s="8" t="s">
        <v>47</v>
      </c>
      <c r="F198" s="8" t="s">
        <v>69</v>
      </c>
      <c r="G198" s="8">
        <v>93288</v>
      </c>
      <c r="H198" s="8">
        <v>13</v>
      </c>
      <c r="I198" s="8" t="s">
        <v>250</v>
      </c>
      <c r="J198" s="8" t="s">
        <v>46</v>
      </c>
      <c r="K198" s="8" t="s">
        <v>18</v>
      </c>
      <c r="L198" s="8" t="s">
        <v>32</v>
      </c>
    </row>
    <row r="199" spans="1:12">
      <c r="A199">
        <v>1198</v>
      </c>
      <c r="B199" s="5" t="s">
        <v>111</v>
      </c>
      <c r="C199" s="6" t="s">
        <v>26</v>
      </c>
      <c r="D199" s="6">
        <v>24</v>
      </c>
      <c r="E199" s="6" t="s">
        <v>64</v>
      </c>
      <c r="F199" s="6" t="s">
        <v>82</v>
      </c>
      <c r="G199" s="6">
        <v>33906</v>
      </c>
      <c r="H199" s="6">
        <v>2</v>
      </c>
      <c r="I199" s="6" t="s">
        <v>251</v>
      </c>
      <c r="J199" s="6" t="s">
        <v>50</v>
      </c>
      <c r="K199" s="6" t="s">
        <v>18</v>
      </c>
      <c r="L199" s="6" t="s">
        <v>19</v>
      </c>
    </row>
    <row r="200" spans="1:12">
      <c r="A200">
        <v>1199</v>
      </c>
      <c r="B200" s="7" t="s">
        <v>92</v>
      </c>
      <c r="C200" s="8" t="s">
        <v>26</v>
      </c>
      <c r="D200" s="8">
        <v>44</v>
      </c>
      <c r="E200" s="8" t="s">
        <v>27</v>
      </c>
      <c r="F200" s="8" t="s">
        <v>28</v>
      </c>
      <c r="G200" s="8">
        <v>67301</v>
      </c>
      <c r="H200" s="8">
        <v>14</v>
      </c>
      <c r="I200" s="8" t="s">
        <v>252</v>
      </c>
      <c r="J200" s="8" t="s">
        <v>50</v>
      </c>
      <c r="K200" s="8" t="s">
        <v>18</v>
      </c>
      <c r="L200" s="8" t="s">
        <v>68</v>
      </c>
    </row>
    <row r="201" spans="1:12">
      <c r="A201">
        <v>1200</v>
      </c>
      <c r="B201" s="5" t="s">
        <v>42</v>
      </c>
      <c r="C201" s="6" t="s">
        <v>13</v>
      </c>
      <c r="D201" s="6">
        <v>33</v>
      </c>
      <c r="E201" s="6" t="s">
        <v>47</v>
      </c>
      <c r="F201" s="6" t="s">
        <v>69</v>
      </c>
      <c r="G201" s="6">
        <v>47921</v>
      </c>
      <c r="H201" s="6">
        <v>5</v>
      </c>
      <c r="I201" s="6" t="s">
        <v>253</v>
      </c>
      <c r="J201" s="6" t="s">
        <v>50</v>
      </c>
      <c r="K201" s="6" t="s">
        <v>55</v>
      </c>
      <c r="L201" s="6" t="s">
        <v>19</v>
      </c>
    </row>
    <row r="202" spans="1:12">
      <c r="A202">
        <v>1201</v>
      </c>
      <c r="B202" s="7" t="s">
        <v>53</v>
      </c>
      <c r="C202" s="8" t="s">
        <v>26</v>
      </c>
      <c r="D202" s="8">
        <v>21</v>
      </c>
      <c r="E202" s="8" t="s">
        <v>64</v>
      </c>
      <c r="F202" s="8" t="s">
        <v>65</v>
      </c>
      <c r="G202" s="8">
        <v>95794</v>
      </c>
      <c r="H202" s="8">
        <v>1</v>
      </c>
      <c r="I202" s="8" t="s">
        <v>254</v>
      </c>
      <c r="J202" s="8" t="s">
        <v>46</v>
      </c>
      <c r="K202" s="8" t="s">
        <v>55</v>
      </c>
      <c r="L202" s="8" t="s">
        <v>52</v>
      </c>
    </row>
    <row r="203" spans="1:12">
      <c r="A203">
        <v>1202</v>
      </c>
      <c r="B203" s="5" t="s">
        <v>33</v>
      </c>
      <c r="C203" s="6" t="s">
        <v>13</v>
      </c>
      <c r="D203" s="6">
        <v>38</v>
      </c>
      <c r="E203" s="6" t="s">
        <v>64</v>
      </c>
      <c r="F203" s="6" t="s">
        <v>82</v>
      </c>
      <c r="G203" s="6">
        <v>78690</v>
      </c>
      <c r="H203" s="6">
        <v>14</v>
      </c>
      <c r="I203" s="6" t="s">
        <v>255</v>
      </c>
      <c r="J203" s="6" t="s">
        <v>50</v>
      </c>
      <c r="K203" s="6" t="s">
        <v>55</v>
      </c>
      <c r="L203" s="6" t="s">
        <v>59</v>
      </c>
    </row>
    <row r="204" spans="1:12">
      <c r="A204">
        <v>1203</v>
      </c>
      <c r="B204" s="7" t="s">
        <v>53</v>
      </c>
      <c r="C204" s="8" t="s">
        <v>13</v>
      </c>
      <c r="D204" s="8">
        <v>28</v>
      </c>
      <c r="E204" s="8" t="s">
        <v>35</v>
      </c>
      <c r="F204" s="8" t="s">
        <v>103</v>
      </c>
      <c r="G204" s="8">
        <v>68049</v>
      </c>
      <c r="H204" s="8">
        <v>0</v>
      </c>
      <c r="I204" s="8" t="s">
        <v>256</v>
      </c>
      <c r="J204" s="8" t="s">
        <v>50</v>
      </c>
      <c r="K204" s="8" t="s">
        <v>18</v>
      </c>
      <c r="L204" s="8" t="s">
        <v>32</v>
      </c>
    </row>
    <row r="205" spans="1:12">
      <c r="A205">
        <v>1204</v>
      </c>
      <c r="B205" s="5" t="s">
        <v>73</v>
      </c>
      <c r="C205" s="6" t="s">
        <v>26</v>
      </c>
      <c r="D205" s="6">
        <v>26</v>
      </c>
      <c r="E205" s="6" t="s">
        <v>14</v>
      </c>
      <c r="F205" s="6" t="s">
        <v>21</v>
      </c>
      <c r="G205" s="6">
        <v>42670</v>
      </c>
      <c r="H205" s="6">
        <v>4</v>
      </c>
      <c r="I205" s="6" t="s">
        <v>257</v>
      </c>
      <c r="J205" s="6" t="s">
        <v>46</v>
      </c>
      <c r="K205" s="6" t="s">
        <v>18</v>
      </c>
      <c r="L205" s="6" t="s">
        <v>24</v>
      </c>
    </row>
    <row r="206" spans="1:12">
      <c r="A206">
        <v>1205</v>
      </c>
      <c r="B206" s="7" t="s">
        <v>63</v>
      </c>
      <c r="C206" s="8" t="s">
        <v>13</v>
      </c>
      <c r="D206" s="8">
        <v>35</v>
      </c>
      <c r="E206" s="8" t="s">
        <v>64</v>
      </c>
      <c r="F206" s="8" t="s">
        <v>82</v>
      </c>
      <c r="G206" s="8">
        <v>103028</v>
      </c>
      <c r="H206" s="8">
        <v>10</v>
      </c>
      <c r="I206" s="8" t="s">
        <v>258</v>
      </c>
      <c r="J206" s="8" t="s">
        <v>50</v>
      </c>
      <c r="K206" s="8" t="s">
        <v>18</v>
      </c>
      <c r="L206" s="8" t="s">
        <v>68</v>
      </c>
    </row>
    <row r="207" spans="1:12">
      <c r="A207">
        <v>1206</v>
      </c>
      <c r="B207" s="5" t="s">
        <v>60</v>
      </c>
      <c r="C207" s="6" t="s">
        <v>26</v>
      </c>
      <c r="D207" s="6">
        <v>34</v>
      </c>
      <c r="E207" s="6" t="s">
        <v>64</v>
      </c>
      <c r="F207" s="6" t="s">
        <v>82</v>
      </c>
      <c r="G207" s="6">
        <v>75279</v>
      </c>
      <c r="H207" s="6">
        <v>4</v>
      </c>
      <c r="I207" s="6" t="s">
        <v>259</v>
      </c>
      <c r="J207" s="6" t="s">
        <v>46</v>
      </c>
      <c r="K207" s="6" t="s">
        <v>18</v>
      </c>
      <c r="L207" s="6" t="s">
        <v>32</v>
      </c>
    </row>
    <row r="208" spans="1:12">
      <c r="A208">
        <v>1207</v>
      </c>
      <c r="B208" s="7" t="s">
        <v>42</v>
      </c>
      <c r="C208" s="8" t="s">
        <v>26</v>
      </c>
      <c r="D208" s="8">
        <v>22</v>
      </c>
      <c r="E208" s="8" t="s">
        <v>64</v>
      </c>
      <c r="F208" s="8" t="s">
        <v>82</v>
      </c>
      <c r="G208" s="8">
        <v>94994</v>
      </c>
      <c r="H208" s="8">
        <v>0</v>
      </c>
      <c r="I208" s="8" t="s">
        <v>260</v>
      </c>
      <c r="J208" s="8" t="s">
        <v>23</v>
      </c>
      <c r="K208" s="8" t="s">
        <v>18</v>
      </c>
      <c r="L208" s="8" t="s">
        <v>52</v>
      </c>
    </row>
    <row r="209" spans="1:12">
      <c r="A209">
        <v>1208</v>
      </c>
      <c r="B209" s="5" t="s">
        <v>60</v>
      </c>
      <c r="C209" s="6" t="s">
        <v>13</v>
      </c>
      <c r="D209" s="6">
        <v>25</v>
      </c>
      <c r="E209" s="6" t="s">
        <v>47</v>
      </c>
      <c r="F209" s="6" t="s">
        <v>48</v>
      </c>
      <c r="G209" s="6">
        <v>73868</v>
      </c>
      <c r="H209" s="6">
        <v>3</v>
      </c>
      <c r="I209" s="6" t="s">
        <v>261</v>
      </c>
      <c r="J209" s="6" t="s">
        <v>46</v>
      </c>
      <c r="K209" s="6" t="s">
        <v>18</v>
      </c>
      <c r="L209" s="6" t="s">
        <v>32</v>
      </c>
    </row>
    <row r="210" spans="1:12">
      <c r="A210">
        <v>1209</v>
      </c>
      <c r="B210" s="7" t="s">
        <v>60</v>
      </c>
      <c r="C210" s="8" t="s">
        <v>26</v>
      </c>
      <c r="D210" s="8">
        <v>37</v>
      </c>
      <c r="E210" s="8" t="s">
        <v>47</v>
      </c>
      <c r="F210" s="8" t="s">
        <v>69</v>
      </c>
      <c r="G210" s="8">
        <v>117442</v>
      </c>
      <c r="H210" s="8">
        <v>13</v>
      </c>
      <c r="I210" s="8" t="s">
        <v>262</v>
      </c>
      <c r="J210" s="8" t="s">
        <v>23</v>
      </c>
      <c r="K210" s="8" t="s">
        <v>55</v>
      </c>
      <c r="L210" s="8" t="s">
        <v>24</v>
      </c>
    </row>
    <row r="211" spans="1:12">
      <c r="A211">
        <v>1210</v>
      </c>
      <c r="B211" s="5" t="s">
        <v>63</v>
      </c>
      <c r="C211" s="6" t="s">
        <v>26</v>
      </c>
      <c r="D211" s="6">
        <v>31</v>
      </c>
      <c r="E211" s="6" t="s">
        <v>14</v>
      </c>
      <c r="F211" s="6" t="s">
        <v>15</v>
      </c>
      <c r="G211" s="6">
        <v>88695</v>
      </c>
      <c r="H211" s="6">
        <v>7</v>
      </c>
      <c r="I211" s="6" t="s">
        <v>243</v>
      </c>
      <c r="J211" s="6" t="s">
        <v>50</v>
      </c>
      <c r="K211" s="6" t="s">
        <v>18</v>
      </c>
      <c r="L211" s="6" t="s">
        <v>52</v>
      </c>
    </row>
    <row r="212" spans="1:12">
      <c r="A212">
        <v>1211</v>
      </c>
      <c r="B212" s="7" t="s">
        <v>60</v>
      </c>
      <c r="C212" s="8" t="s">
        <v>13</v>
      </c>
      <c r="D212" s="8">
        <v>31</v>
      </c>
      <c r="E212" s="8" t="s">
        <v>35</v>
      </c>
      <c r="F212" s="8" t="s">
        <v>103</v>
      </c>
      <c r="G212" s="8">
        <v>45891</v>
      </c>
      <c r="H212" s="8">
        <v>5</v>
      </c>
      <c r="I212" s="8" t="s">
        <v>263</v>
      </c>
      <c r="J212" s="8" t="s">
        <v>23</v>
      </c>
      <c r="K212" s="8" t="s">
        <v>55</v>
      </c>
      <c r="L212" s="8" t="s">
        <v>24</v>
      </c>
    </row>
    <row r="213" spans="1:12">
      <c r="A213">
        <v>1212</v>
      </c>
      <c r="B213" s="5" t="s">
        <v>53</v>
      </c>
      <c r="C213" s="6" t="s">
        <v>13</v>
      </c>
      <c r="D213" s="6">
        <v>35</v>
      </c>
      <c r="E213" s="6" t="s">
        <v>64</v>
      </c>
      <c r="F213" s="6" t="s">
        <v>82</v>
      </c>
      <c r="G213" s="6">
        <v>86615</v>
      </c>
      <c r="H213" s="6">
        <v>5</v>
      </c>
      <c r="I213" s="6" t="s">
        <v>264</v>
      </c>
      <c r="J213" s="6" t="s">
        <v>23</v>
      </c>
      <c r="K213" s="6" t="s">
        <v>18</v>
      </c>
      <c r="L213" s="6" t="s">
        <v>32</v>
      </c>
    </row>
    <row r="214" spans="1:12">
      <c r="A214">
        <v>1213</v>
      </c>
      <c r="B214" s="7" t="s">
        <v>30</v>
      </c>
      <c r="C214" s="8" t="s">
        <v>13</v>
      </c>
      <c r="D214" s="8">
        <v>41</v>
      </c>
      <c r="E214" s="8" t="s">
        <v>64</v>
      </c>
      <c r="F214" s="8" t="s">
        <v>65</v>
      </c>
      <c r="G214" s="8">
        <v>58639</v>
      </c>
      <c r="H214" s="8">
        <v>15</v>
      </c>
      <c r="I214" s="8" t="s">
        <v>192</v>
      </c>
      <c r="J214" s="8" t="s">
        <v>50</v>
      </c>
      <c r="K214" s="8" t="s">
        <v>18</v>
      </c>
      <c r="L214" s="8" t="s">
        <v>59</v>
      </c>
    </row>
    <row r="215" spans="1:12">
      <c r="A215">
        <v>1214</v>
      </c>
      <c r="B215" s="5" t="s">
        <v>57</v>
      </c>
      <c r="C215" s="6" t="s">
        <v>26</v>
      </c>
      <c r="D215" s="6">
        <v>31</v>
      </c>
      <c r="E215" s="6" t="s">
        <v>43</v>
      </c>
      <c r="F215" s="6" t="s">
        <v>44</v>
      </c>
      <c r="G215" s="6">
        <v>83441</v>
      </c>
      <c r="H215" s="6">
        <v>11</v>
      </c>
      <c r="I215" s="6" t="s">
        <v>265</v>
      </c>
      <c r="J215" s="6" t="s">
        <v>23</v>
      </c>
      <c r="K215" s="6" t="s">
        <v>18</v>
      </c>
      <c r="L215" s="6" t="s">
        <v>32</v>
      </c>
    </row>
    <row r="216" spans="1:12">
      <c r="A216">
        <v>1215</v>
      </c>
      <c r="B216" s="7" t="s">
        <v>33</v>
      </c>
      <c r="C216" s="8" t="s">
        <v>13</v>
      </c>
      <c r="D216" s="8">
        <v>38</v>
      </c>
      <c r="E216" s="8" t="s">
        <v>43</v>
      </c>
      <c r="F216" s="8" t="s">
        <v>88</v>
      </c>
      <c r="G216" s="8">
        <v>30300</v>
      </c>
      <c r="H216" s="8">
        <v>14</v>
      </c>
      <c r="I216" s="8" t="s">
        <v>266</v>
      </c>
      <c r="J216" s="8" t="s">
        <v>46</v>
      </c>
      <c r="K216" s="8" t="s">
        <v>18</v>
      </c>
      <c r="L216" s="8" t="s">
        <v>24</v>
      </c>
    </row>
    <row r="217" spans="1:12">
      <c r="A217">
        <v>1216</v>
      </c>
      <c r="B217" s="5" t="s">
        <v>85</v>
      </c>
      <c r="C217" s="6" t="s">
        <v>26</v>
      </c>
      <c r="D217" s="6">
        <v>34</v>
      </c>
      <c r="E217" s="6" t="s">
        <v>64</v>
      </c>
      <c r="F217" s="6" t="s">
        <v>82</v>
      </c>
      <c r="G217" s="6">
        <v>41544</v>
      </c>
      <c r="H217" s="6">
        <v>5</v>
      </c>
      <c r="I217" s="6" t="s">
        <v>267</v>
      </c>
      <c r="J217" s="6" t="s">
        <v>17</v>
      </c>
      <c r="K217" s="6" t="s">
        <v>18</v>
      </c>
      <c r="L217" s="6" t="s">
        <v>32</v>
      </c>
    </row>
    <row r="218" spans="1:12">
      <c r="A218">
        <v>1217</v>
      </c>
      <c r="B218" s="7" t="s">
        <v>30</v>
      </c>
      <c r="C218" s="8" t="s">
        <v>26</v>
      </c>
      <c r="D218" s="8">
        <v>27</v>
      </c>
      <c r="E218" s="8" t="s">
        <v>47</v>
      </c>
      <c r="F218" s="8" t="s">
        <v>69</v>
      </c>
      <c r="G218" s="8">
        <v>56036</v>
      </c>
      <c r="H218" s="8">
        <v>5</v>
      </c>
      <c r="I218" s="8" t="s">
        <v>249</v>
      </c>
      <c r="J218" s="8" t="s">
        <v>23</v>
      </c>
      <c r="K218" s="8" t="s">
        <v>18</v>
      </c>
      <c r="L218" s="8" t="s">
        <v>68</v>
      </c>
    </row>
    <row r="219" spans="1:12">
      <c r="A219">
        <v>1218</v>
      </c>
      <c r="B219" s="5" t="s">
        <v>42</v>
      </c>
      <c r="C219" s="6" t="s">
        <v>13</v>
      </c>
      <c r="D219" s="6">
        <v>28</v>
      </c>
      <c r="E219" s="6" t="s">
        <v>27</v>
      </c>
      <c r="F219" s="6" t="s">
        <v>28</v>
      </c>
      <c r="G219" s="6">
        <v>114977</v>
      </c>
      <c r="H219" s="6">
        <v>7</v>
      </c>
      <c r="I219" s="6" t="s">
        <v>268</v>
      </c>
      <c r="J219" s="6" t="s">
        <v>23</v>
      </c>
      <c r="K219" s="6" t="s">
        <v>18</v>
      </c>
      <c r="L219" s="6" t="s">
        <v>68</v>
      </c>
    </row>
    <row r="220" spans="1:12">
      <c r="A220">
        <v>1219</v>
      </c>
      <c r="B220" s="7" t="s">
        <v>60</v>
      </c>
      <c r="C220" s="8" t="s">
        <v>13</v>
      </c>
      <c r="D220" s="8">
        <v>30</v>
      </c>
      <c r="E220" s="8" t="s">
        <v>47</v>
      </c>
      <c r="F220" s="8" t="s">
        <v>48</v>
      </c>
      <c r="G220" s="8">
        <v>71372</v>
      </c>
      <c r="H220" s="8">
        <v>3</v>
      </c>
      <c r="I220" s="8" t="s">
        <v>244</v>
      </c>
      <c r="J220" s="8" t="s">
        <v>23</v>
      </c>
      <c r="K220" s="8" t="s">
        <v>55</v>
      </c>
      <c r="L220" s="8" t="s">
        <v>52</v>
      </c>
    </row>
    <row r="221" spans="1:12">
      <c r="A221">
        <v>1220</v>
      </c>
      <c r="B221" s="5" t="s">
        <v>20</v>
      </c>
      <c r="C221" s="6" t="s">
        <v>26</v>
      </c>
      <c r="D221" s="6">
        <v>36</v>
      </c>
      <c r="E221" s="6" t="s">
        <v>64</v>
      </c>
      <c r="F221" s="6" t="s">
        <v>82</v>
      </c>
      <c r="G221" s="6">
        <v>90062</v>
      </c>
      <c r="H221" s="6">
        <v>13</v>
      </c>
      <c r="I221" s="6" t="s">
        <v>269</v>
      </c>
      <c r="J221" s="6" t="s">
        <v>50</v>
      </c>
      <c r="K221" s="6" t="s">
        <v>18</v>
      </c>
      <c r="L221" s="6" t="s">
        <v>32</v>
      </c>
    </row>
    <row r="222" spans="1:12">
      <c r="A222">
        <v>1221</v>
      </c>
      <c r="B222" s="7" t="s">
        <v>33</v>
      </c>
      <c r="C222" s="8" t="s">
        <v>26</v>
      </c>
      <c r="D222" s="8">
        <v>39</v>
      </c>
      <c r="E222" s="8" t="s">
        <v>14</v>
      </c>
      <c r="F222" s="8" t="s">
        <v>15</v>
      </c>
      <c r="G222" s="8">
        <v>35569</v>
      </c>
      <c r="H222" s="8">
        <v>15</v>
      </c>
      <c r="I222" s="8" t="s">
        <v>270</v>
      </c>
      <c r="J222" s="8" t="s">
        <v>46</v>
      </c>
      <c r="K222" s="8" t="s">
        <v>18</v>
      </c>
      <c r="L222" s="8" t="s">
        <v>19</v>
      </c>
    </row>
    <row r="223" spans="1:12">
      <c r="A223">
        <v>1222</v>
      </c>
      <c r="B223" s="5" t="s">
        <v>33</v>
      </c>
      <c r="C223" s="6" t="s">
        <v>26</v>
      </c>
      <c r="D223" s="6">
        <v>38</v>
      </c>
      <c r="E223" s="6" t="s">
        <v>35</v>
      </c>
      <c r="F223" s="6" t="s">
        <v>103</v>
      </c>
      <c r="G223" s="6">
        <v>80579</v>
      </c>
      <c r="H223" s="6">
        <v>14</v>
      </c>
      <c r="I223" s="6" t="s">
        <v>271</v>
      </c>
      <c r="J223" s="6" t="s">
        <v>23</v>
      </c>
      <c r="K223" s="6" t="s">
        <v>55</v>
      </c>
      <c r="L223" s="6" t="s">
        <v>19</v>
      </c>
    </row>
    <row r="224" spans="1:12">
      <c r="A224">
        <v>1223</v>
      </c>
      <c r="B224" s="7" t="s">
        <v>85</v>
      </c>
      <c r="C224" s="8" t="s">
        <v>26</v>
      </c>
      <c r="D224" s="8">
        <v>34</v>
      </c>
      <c r="E224" s="8" t="s">
        <v>43</v>
      </c>
      <c r="F224" s="8" t="s">
        <v>88</v>
      </c>
      <c r="G224" s="8">
        <v>94616</v>
      </c>
      <c r="H224" s="8">
        <v>8</v>
      </c>
      <c r="I224" s="8" t="s">
        <v>272</v>
      </c>
      <c r="J224" s="8" t="s">
        <v>23</v>
      </c>
      <c r="K224" s="8" t="s">
        <v>18</v>
      </c>
      <c r="L224" s="8" t="s">
        <v>32</v>
      </c>
    </row>
    <row r="225" spans="1:12">
      <c r="A225">
        <v>1224</v>
      </c>
      <c r="B225" s="5" t="s">
        <v>63</v>
      </c>
      <c r="C225" s="6" t="s">
        <v>13</v>
      </c>
      <c r="D225" s="6">
        <v>29</v>
      </c>
      <c r="E225" s="6" t="s">
        <v>43</v>
      </c>
      <c r="F225" s="6" t="s">
        <v>44</v>
      </c>
      <c r="G225" s="6">
        <v>84850</v>
      </c>
      <c r="H225" s="6">
        <v>4</v>
      </c>
      <c r="I225" s="6" t="s">
        <v>273</v>
      </c>
      <c r="J225" s="6" t="s">
        <v>17</v>
      </c>
      <c r="K225" s="6" t="s">
        <v>55</v>
      </c>
      <c r="L225" s="6" t="s">
        <v>59</v>
      </c>
    </row>
    <row r="226" spans="1:12">
      <c r="A226">
        <v>1225</v>
      </c>
      <c r="B226" s="7" t="s">
        <v>73</v>
      </c>
      <c r="C226" s="8" t="s">
        <v>26</v>
      </c>
      <c r="D226" s="8">
        <v>23</v>
      </c>
      <c r="E226" s="8" t="s">
        <v>43</v>
      </c>
      <c r="F226" s="8" t="s">
        <v>44</v>
      </c>
      <c r="G226" s="8">
        <v>85333</v>
      </c>
      <c r="H226" s="8">
        <v>3</v>
      </c>
      <c r="I226" s="8" t="s">
        <v>274</v>
      </c>
      <c r="J226" s="8" t="s">
        <v>50</v>
      </c>
      <c r="K226" s="8" t="s">
        <v>18</v>
      </c>
      <c r="L226" s="8" t="s">
        <v>59</v>
      </c>
    </row>
    <row r="227" spans="1:12">
      <c r="A227">
        <v>1226</v>
      </c>
      <c r="B227" s="5" t="s">
        <v>30</v>
      </c>
      <c r="C227" s="6" t="s">
        <v>26</v>
      </c>
      <c r="D227" s="6">
        <v>35</v>
      </c>
      <c r="E227" s="6" t="s">
        <v>14</v>
      </c>
      <c r="F227" s="6" t="s">
        <v>21</v>
      </c>
      <c r="G227" s="6">
        <v>108542</v>
      </c>
      <c r="H227" s="6">
        <v>13</v>
      </c>
      <c r="I227" s="6" t="s">
        <v>122</v>
      </c>
      <c r="J227" s="6" t="s">
        <v>23</v>
      </c>
      <c r="K227" s="6" t="s">
        <v>55</v>
      </c>
      <c r="L227" s="6" t="s">
        <v>52</v>
      </c>
    </row>
    <row r="228" spans="1:12">
      <c r="A228">
        <v>1227</v>
      </c>
      <c r="B228" s="7" t="s">
        <v>60</v>
      </c>
      <c r="C228" s="8" t="s">
        <v>13</v>
      </c>
      <c r="D228" s="8">
        <v>34</v>
      </c>
      <c r="E228" s="8" t="s">
        <v>27</v>
      </c>
      <c r="F228" s="8" t="s">
        <v>38</v>
      </c>
      <c r="G228" s="8">
        <v>55901</v>
      </c>
      <c r="H228" s="8">
        <v>10</v>
      </c>
      <c r="I228" s="8" t="s">
        <v>275</v>
      </c>
      <c r="J228" s="8" t="s">
        <v>50</v>
      </c>
      <c r="K228" s="8" t="s">
        <v>18</v>
      </c>
      <c r="L228" s="8" t="s">
        <v>24</v>
      </c>
    </row>
    <row r="229" spans="1:12">
      <c r="A229">
        <v>1228</v>
      </c>
      <c r="B229" s="5" t="s">
        <v>153</v>
      </c>
      <c r="C229" s="6" t="s">
        <v>13</v>
      </c>
      <c r="D229" s="6">
        <v>34</v>
      </c>
      <c r="E229" s="6" t="s">
        <v>43</v>
      </c>
      <c r="F229" s="6" t="s">
        <v>88</v>
      </c>
      <c r="G229" s="6">
        <v>82633</v>
      </c>
      <c r="H229" s="6">
        <v>5</v>
      </c>
      <c r="I229" s="6" t="s">
        <v>276</v>
      </c>
      <c r="J229" s="6" t="s">
        <v>17</v>
      </c>
      <c r="K229" s="6" t="s">
        <v>18</v>
      </c>
      <c r="L229" s="6" t="s">
        <v>19</v>
      </c>
    </row>
    <row r="230" spans="1:12">
      <c r="A230">
        <v>1229</v>
      </c>
      <c r="B230" s="7" t="s">
        <v>73</v>
      </c>
      <c r="C230" s="8" t="s">
        <v>13</v>
      </c>
      <c r="D230" s="8">
        <v>30</v>
      </c>
      <c r="E230" s="8" t="s">
        <v>14</v>
      </c>
      <c r="F230" s="8" t="s">
        <v>15</v>
      </c>
      <c r="G230" s="8">
        <v>88770</v>
      </c>
      <c r="H230" s="8">
        <v>8</v>
      </c>
      <c r="I230" s="8" t="s">
        <v>277</v>
      </c>
      <c r="J230" s="8" t="s">
        <v>23</v>
      </c>
      <c r="K230" s="8" t="s">
        <v>18</v>
      </c>
      <c r="L230" s="8" t="s">
        <v>52</v>
      </c>
    </row>
    <row r="231" spans="1:12">
      <c r="A231">
        <v>1230</v>
      </c>
      <c r="B231" s="5" t="s">
        <v>153</v>
      </c>
      <c r="C231" s="6" t="s">
        <v>13</v>
      </c>
      <c r="D231" s="6">
        <v>41</v>
      </c>
      <c r="E231" s="6" t="s">
        <v>47</v>
      </c>
      <c r="F231" s="6" t="s">
        <v>69</v>
      </c>
      <c r="G231" s="6">
        <v>55320</v>
      </c>
      <c r="H231" s="6">
        <v>13</v>
      </c>
      <c r="I231" s="6" t="s">
        <v>278</v>
      </c>
      <c r="J231" s="6" t="s">
        <v>46</v>
      </c>
      <c r="K231" s="6" t="s">
        <v>55</v>
      </c>
      <c r="L231" s="6" t="s">
        <v>59</v>
      </c>
    </row>
    <row r="232" spans="1:12">
      <c r="A232">
        <v>1231</v>
      </c>
      <c r="B232" s="7" t="s">
        <v>153</v>
      </c>
      <c r="C232" s="8" t="s">
        <v>13</v>
      </c>
      <c r="D232" s="8">
        <v>26</v>
      </c>
      <c r="E232" s="8" t="s">
        <v>14</v>
      </c>
      <c r="F232" s="8" t="s">
        <v>21</v>
      </c>
      <c r="G232" s="8">
        <v>40567</v>
      </c>
      <c r="H232" s="8">
        <v>3</v>
      </c>
      <c r="I232" s="8" t="s">
        <v>279</v>
      </c>
      <c r="J232" s="8" t="s">
        <v>50</v>
      </c>
      <c r="K232" s="8" t="s">
        <v>18</v>
      </c>
      <c r="L232" s="8" t="s">
        <v>32</v>
      </c>
    </row>
    <row r="233" spans="1:12">
      <c r="A233">
        <v>1232</v>
      </c>
      <c r="B233" s="5" t="s">
        <v>78</v>
      </c>
      <c r="C233" s="6" t="s">
        <v>26</v>
      </c>
      <c r="D233" s="6">
        <v>23</v>
      </c>
      <c r="E233" s="6" t="s">
        <v>64</v>
      </c>
      <c r="F233" s="6" t="s">
        <v>82</v>
      </c>
      <c r="G233" s="6">
        <v>101075</v>
      </c>
      <c r="H233" s="6">
        <v>3</v>
      </c>
      <c r="I233" s="6" t="s">
        <v>280</v>
      </c>
      <c r="J233" s="6" t="s">
        <v>17</v>
      </c>
      <c r="K233" s="6" t="s">
        <v>18</v>
      </c>
      <c r="L233" s="6" t="s">
        <v>68</v>
      </c>
    </row>
    <row r="234" spans="1:12">
      <c r="A234">
        <v>1233</v>
      </c>
      <c r="B234" s="7" t="s">
        <v>40</v>
      </c>
      <c r="C234" s="8" t="s">
        <v>13</v>
      </c>
      <c r="D234" s="8">
        <v>26</v>
      </c>
      <c r="E234" s="8" t="s">
        <v>14</v>
      </c>
      <c r="F234" s="8" t="s">
        <v>21</v>
      </c>
      <c r="G234" s="8">
        <v>104325</v>
      </c>
      <c r="H234" s="8">
        <v>1</v>
      </c>
      <c r="I234" s="8" t="s">
        <v>281</v>
      </c>
      <c r="J234" s="8" t="s">
        <v>46</v>
      </c>
      <c r="K234" s="8" t="s">
        <v>18</v>
      </c>
      <c r="L234" s="8" t="s">
        <v>59</v>
      </c>
    </row>
    <row r="235" spans="1:12">
      <c r="A235">
        <v>1234</v>
      </c>
      <c r="B235" s="5" t="s">
        <v>42</v>
      </c>
      <c r="C235" s="6" t="s">
        <v>13</v>
      </c>
      <c r="D235" s="6">
        <v>33</v>
      </c>
      <c r="E235" s="6" t="s">
        <v>14</v>
      </c>
      <c r="F235" s="6" t="s">
        <v>15</v>
      </c>
      <c r="G235" s="6">
        <v>105191</v>
      </c>
      <c r="H235" s="6">
        <v>11</v>
      </c>
      <c r="I235" s="6" t="s">
        <v>282</v>
      </c>
      <c r="J235" s="6" t="s">
        <v>46</v>
      </c>
      <c r="K235" s="6" t="s">
        <v>18</v>
      </c>
      <c r="L235" s="6" t="s">
        <v>68</v>
      </c>
    </row>
    <row r="236" spans="1:12">
      <c r="A236">
        <v>1235</v>
      </c>
      <c r="B236" s="7" t="s">
        <v>111</v>
      </c>
      <c r="C236" s="8" t="s">
        <v>26</v>
      </c>
      <c r="D236" s="8">
        <v>39</v>
      </c>
      <c r="E236" s="8" t="s">
        <v>35</v>
      </c>
      <c r="F236" s="8" t="s">
        <v>103</v>
      </c>
      <c r="G236" s="8">
        <v>30096</v>
      </c>
      <c r="H236" s="8">
        <v>13</v>
      </c>
      <c r="I236" s="8" t="s">
        <v>283</v>
      </c>
      <c r="J236" s="8" t="s">
        <v>23</v>
      </c>
      <c r="K236" s="8" t="s">
        <v>55</v>
      </c>
      <c r="L236" s="8" t="s">
        <v>19</v>
      </c>
    </row>
    <row r="237" spans="1:12">
      <c r="A237">
        <v>1236</v>
      </c>
      <c r="B237" s="5" t="s">
        <v>57</v>
      </c>
      <c r="C237" s="6" t="s">
        <v>13</v>
      </c>
      <c r="D237" s="6">
        <v>41</v>
      </c>
      <c r="E237" s="6" t="s">
        <v>47</v>
      </c>
      <c r="F237" s="6" t="s">
        <v>48</v>
      </c>
      <c r="G237" s="6">
        <v>36479</v>
      </c>
      <c r="H237" s="6">
        <v>12</v>
      </c>
      <c r="I237" s="6" t="s">
        <v>284</v>
      </c>
      <c r="J237" s="6" t="s">
        <v>50</v>
      </c>
      <c r="K237" s="6" t="s">
        <v>18</v>
      </c>
      <c r="L237" s="6" t="s">
        <v>52</v>
      </c>
    </row>
    <row r="238" spans="1:12">
      <c r="A238">
        <v>1237</v>
      </c>
      <c r="B238" s="7" t="s">
        <v>25</v>
      </c>
      <c r="C238" s="8" t="s">
        <v>26</v>
      </c>
      <c r="D238" s="8">
        <v>27</v>
      </c>
      <c r="E238" s="8" t="s">
        <v>43</v>
      </c>
      <c r="F238" s="8" t="s">
        <v>44</v>
      </c>
      <c r="G238" s="8">
        <v>53742</v>
      </c>
      <c r="H238" s="8">
        <v>7</v>
      </c>
      <c r="I238" s="8" t="s">
        <v>285</v>
      </c>
      <c r="J238" s="8" t="s">
        <v>23</v>
      </c>
      <c r="K238" s="8" t="s">
        <v>18</v>
      </c>
      <c r="L238" s="8" t="s">
        <v>59</v>
      </c>
    </row>
    <row r="239" spans="1:12">
      <c r="A239">
        <v>1238</v>
      </c>
      <c r="B239" s="5" t="s">
        <v>30</v>
      </c>
      <c r="C239" s="6" t="s">
        <v>26</v>
      </c>
      <c r="D239" s="6">
        <v>28</v>
      </c>
      <c r="E239" s="6" t="s">
        <v>27</v>
      </c>
      <c r="F239" s="6" t="s">
        <v>38</v>
      </c>
      <c r="G239" s="6">
        <v>43782</v>
      </c>
      <c r="H239" s="6">
        <v>5</v>
      </c>
      <c r="I239" s="6" t="s">
        <v>286</v>
      </c>
      <c r="J239" s="6" t="s">
        <v>17</v>
      </c>
      <c r="K239" s="6" t="s">
        <v>18</v>
      </c>
      <c r="L239" s="6" t="s">
        <v>19</v>
      </c>
    </row>
    <row r="240" spans="1:12">
      <c r="A240">
        <v>1239</v>
      </c>
      <c r="B240" s="7" t="s">
        <v>42</v>
      </c>
      <c r="C240" s="8" t="s">
        <v>26</v>
      </c>
      <c r="D240" s="8">
        <v>35</v>
      </c>
      <c r="E240" s="8" t="s">
        <v>27</v>
      </c>
      <c r="F240" s="8" t="s">
        <v>28</v>
      </c>
      <c r="G240" s="8">
        <v>96216</v>
      </c>
      <c r="H240" s="8">
        <v>5</v>
      </c>
      <c r="I240" s="8" t="s">
        <v>287</v>
      </c>
      <c r="J240" s="8" t="s">
        <v>17</v>
      </c>
      <c r="K240" s="8" t="s">
        <v>18</v>
      </c>
      <c r="L240" s="8" t="s">
        <v>59</v>
      </c>
    </row>
    <row r="241" spans="1:12">
      <c r="A241">
        <v>1240</v>
      </c>
      <c r="B241" s="5" t="s">
        <v>30</v>
      </c>
      <c r="C241" s="6" t="s">
        <v>26</v>
      </c>
      <c r="D241" s="6">
        <v>36</v>
      </c>
      <c r="E241" s="6" t="s">
        <v>64</v>
      </c>
      <c r="F241" s="6" t="s">
        <v>65</v>
      </c>
      <c r="G241" s="6">
        <v>71680</v>
      </c>
      <c r="H241" s="6">
        <v>15</v>
      </c>
      <c r="I241" s="6" t="s">
        <v>288</v>
      </c>
      <c r="J241" s="6" t="s">
        <v>50</v>
      </c>
      <c r="K241" s="6" t="s">
        <v>18</v>
      </c>
      <c r="L241" s="6" t="s">
        <v>68</v>
      </c>
    </row>
    <row r="242" spans="1:12">
      <c r="A242">
        <v>1241</v>
      </c>
      <c r="B242" s="7" t="s">
        <v>63</v>
      </c>
      <c r="C242" s="8" t="s">
        <v>13</v>
      </c>
      <c r="D242" s="8">
        <v>28</v>
      </c>
      <c r="E242" s="8" t="s">
        <v>64</v>
      </c>
      <c r="F242" s="8" t="s">
        <v>82</v>
      </c>
      <c r="G242" s="8">
        <v>87090</v>
      </c>
      <c r="H242" s="8">
        <v>7</v>
      </c>
      <c r="I242" s="8" t="s">
        <v>289</v>
      </c>
      <c r="J242" s="8" t="s">
        <v>23</v>
      </c>
      <c r="K242" s="8" t="s">
        <v>18</v>
      </c>
      <c r="L242" s="8" t="s">
        <v>59</v>
      </c>
    </row>
    <row r="243" spans="1:12">
      <c r="A243">
        <v>1242</v>
      </c>
      <c r="B243" s="5" t="s">
        <v>78</v>
      </c>
      <c r="C243" s="6" t="s">
        <v>26</v>
      </c>
      <c r="D243" s="6">
        <v>35</v>
      </c>
      <c r="E243" s="6" t="s">
        <v>47</v>
      </c>
      <c r="F243" s="6" t="s">
        <v>48</v>
      </c>
      <c r="G243" s="6">
        <v>97232</v>
      </c>
      <c r="H243" s="6">
        <v>14</v>
      </c>
      <c r="I243" s="6" t="s">
        <v>290</v>
      </c>
      <c r="J243" s="6" t="s">
        <v>50</v>
      </c>
      <c r="K243" s="6" t="s">
        <v>18</v>
      </c>
      <c r="L243" s="6" t="s">
        <v>24</v>
      </c>
    </row>
    <row r="244" spans="1:12">
      <c r="A244">
        <v>1243</v>
      </c>
      <c r="B244" s="7" t="s">
        <v>73</v>
      </c>
      <c r="C244" s="8" t="s">
        <v>13</v>
      </c>
      <c r="D244" s="8">
        <v>33</v>
      </c>
      <c r="E244" s="8" t="s">
        <v>47</v>
      </c>
      <c r="F244" s="8" t="s">
        <v>48</v>
      </c>
      <c r="G244" s="8">
        <v>113452</v>
      </c>
      <c r="H244" s="8">
        <v>5</v>
      </c>
      <c r="I244" s="8" t="s">
        <v>291</v>
      </c>
      <c r="J244" s="8" t="s">
        <v>50</v>
      </c>
      <c r="K244" s="8" t="s">
        <v>18</v>
      </c>
      <c r="L244" s="8" t="s">
        <v>59</v>
      </c>
    </row>
    <row r="245" spans="1:12">
      <c r="A245">
        <v>1244</v>
      </c>
      <c r="B245" s="5" t="s">
        <v>30</v>
      </c>
      <c r="C245" s="6" t="s">
        <v>26</v>
      </c>
      <c r="D245" s="6">
        <v>39</v>
      </c>
      <c r="E245" s="6" t="s">
        <v>14</v>
      </c>
      <c r="F245" s="6" t="s">
        <v>15</v>
      </c>
      <c r="G245" s="6">
        <v>104352</v>
      </c>
      <c r="H245" s="6">
        <v>14</v>
      </c>
      <c r="I245" s="6" t="s">
        <v>292</v>
      </c>
      <c r="J245" s="6" t="s">
        <v>17</v>
      </c>
      <c r="K245" s="6" t="s">
        <v>55</v>
      </c>
      <c r="L245" s="6" t="s">
        <v>19</v>
      </c>
    </row>
    <row r="246" spans="1:12">
      <c r="A246">
        <v>1245</v>
      </c>
      <c r="B246" s="7" t="s">
        <v>100</v>
      </c>
      <c r="C246" s="8" t="s">
        <v>13</v>
      </c>
      <c r="D246" s="8">
        <v>21</v>
      </c>
      <c r="E246" s="8" t="s">
        <v>64</v>
      </c>
      <c r="F246" s="8" t="s">
        <v>82</v>
      </c>
      <c r="G246" s="8">
        <v>118122</v>
      </c>
      <c r="H246" s="8">
        <v>0</v>
      </c>
      <c r="I246" s="8" t="s">
        <v>293</v>
      </c>
      <c r="J246" s="8" t="s">
        <v>23</v>
      </c>
      <c r="K246" s="8" t="s">
        <v>18</v>
      </c>
      <c r="L246" s="8" t="s">
        <v>52</v>
      </c>
    </row>
    <row r="247" spans="1:12">
      <c r="A247">
        <v>1246</v>
      </c>
      <c r="B247" s="5" t="s">
        <v>92</v>
      </c>
      <c r="C247" s="6" t="s">
        <v>13</v>
      </c>
      <c r="D247" s="6">
        <v>22</v>
      </c>
      <c r="E247" s="6" t="s">
        <v>14</v>
      </c>
      <c r="F247" s="6" t="s">
        <v>15</v>
      </c>
      <c r="G247" s="6">
        <v>76620</v>
      </c>
      <c r="H247" s="6">
        <v>0</v>
      </c>
      <c r="I247" s="6" t="s">
        <v>294</v>
      </c>
      <c r="J247" s="6" t="s">
        <v>23</v>
      </c>
      <c r="K247" s="6" t="s">
        <v>18</v>
      </c>
      <c r="L247" s="6" t="s">
        <v>68</v>
      </c>
    </row>
    <row r="248" spans="1:12">
      <c r="A248">
        <v>1247</v>
      </c>
      <c r="B248" s="7" t="s">
        <v>33</v>
      </c>
      <c r="C248" s="8" t="s">
        <v>26</v>
      </c>
      <c r="D248" s="8">
        <v>30</v>
      </c>
      <c r="E248" s="8" t="s">
        <v>47</v>
      </c>
      <c r="F248" s="8" t="s">
        <v>48</v>
      </c>
      <c r="G248" s="8">
        <v>50097</v>
      </c>
      <c r="H248" s="8">
        <v>4</v>
      </c>
      <c r="I248" s="8" t="s">
        <v>295</v>
      </c>
      <c r="J248" s="8" t="s">
        <v>17</v>
      </c>
      <c r="K248" s="8" t="s">
        <v>55</v>
      </c>
      <c r="L248" s="8" t="s">
        <v>19</v>
      </c>
    </row>
    <row r="249" spans="1:12">
      <c r="A249">
        <v>1248</v>
      </c>
      <c r="B249" s="5" t="s">
        <v>30</v>
      </c>
      <c r="C249" s="6" t="s">
        <v>26</v>
      </c>
      <c r="D249" s="6">
        <v>30</v>
      </c>
      <c r="E249" s="6" t="s">
        <v>27</v>
      </c>
      <c r="F249" s="6" t="s">
        <v>28</v>
      </c>
      <c r="G249" s="6">
        <v>114776</v>
      </c>
      <c r="H249" s="6">
        <v>8</v>
      </c>
      <c r="I249" s="6" t="s">
        <v>296</v>
      </c>
      <c r="J249" s="6" t="s">
        <v>17</v>
      </c>
      <c r="K249" s="6" t="s">
        <v>18</v>
      </c>
      <c r="L249" s="6" t="s">
        <v>68</v>
      </c>
    </row>
    <row r="250" spans="1:12">
      <c r="A250">
        <v>1249</v>
      </c>
      <c r="B250" s="7" t="s">
        <v>78</v>
      </c>
      <c r="C250" s="8" t="s">
        <v>13</v>
      </c>
      <c r="D250" s="8">
        <v>35</v>
      </c>
      <c r="E250" s="8" t="s">
        <v>27</v>
      </c>
      <c r="F250" s="8" t="s">
        <v>28</v>
      </c>
      <c r="G250" s="8">
        <v>75073</v>
      </c>
      <c r="H250" s="8">
        <v>13</v>
      </c>
      <c r="I250" s="8" t="s">
        <v>297</v>
      </c>
      <c r="J250" s="8" t="s">
        <v>17</v>
      </c>
      <c r="K250" s="8" t="s">
        <v>18</v>
      </c>
      <c r="L250" s="8" t="s">
        <v>52</v>
      </c>
    </row>
    <row r="251" spans="1:12">
      <c r="A251">
        <v>1250</v>
      </c>
      <c r="B251" s="5" t="s">
        <v>92</v>
      </c>
      <c r="C251" s="6" t="s">
        <v>13</v>
      </c>
      <c r="D251" s="6">
        <v>29</v>
      </c>
      <c r="E251" s="6" t="s">
        <v>43</v>
      </c>
      <c r="F251" s="6" t="s">
        <v>88</v>
      </c>
      <c r="G251" s="6">
        <v>102997</v>
      </c>
      <c r="H251" s="6">
        <v>5</v>
      </c>
      <c r="I251" s="6" t="s">
        <v>298</v>
      </c>
      <c r="J251" s="6" t="s">
        <v>50</v>
      </c>
      <c r="K251" s="6" t="s">
        <v>18</v>
      </c>
      <c r="L251" s="6" t="s">
        <v>19</v>
      </c>
    </row>
    <row r="252" spans="1:12">
      <c r="A252">
        <v>1251</v>
      </c>
      <c r="B252" s="7" t="s">
        <v>42</v>
      </c>
      <c r="C252" s="8" t="s">
        <v>26</v>
      </c>
      <c r="D252" s="8">
        <v>35</v>
      </c>
      <c r="E252" s="8" t="s">
        <v>64</v>
      </c>
      <c r="F252" s="8" t="s">
        <v>82</v>
      </c>
      <c r="G252" s="8">
        <v>52029</v>
      </c>
      <c r="H252" s="8">
        <v>6</v>
      </c>
      <c r="I252" s="8" t="s">
        <v>299</v>
      </c>
      <c r="J252" s="8" t="s">
        <v>23</v>
      </c>
      <c r="K252" s="8" t="s">
        <v>18</v>
      </c>
      <c r="L252" s="8" t="s">
        <v>59</v>
      </c>
    </row>
    <row r="253" spans="1:12">
      <c r="A253">
        <v>1252</v>
      </c>
      <c r="B253" s="5" t="s">
        <v>30</v>
      </c>
      <c r="C253" s="6" t="s">
        <v>26</v>
      </c>
      <c r="D253" s="6">
        <v>37</v>
      </c>
      <c r="E253" s="6" t="s">
        <v>47</v>
      </c>
      <c r="F253" s="6" t="s">
        <v>69</v>
      </c>
      <c r="G253" s="6">
        <v>34295</v>
      </c>
      <c r="H253" s="6">
        <v>11</v>
      </c>
      <c r="I253" s="6" t="s">
        <v>300</v>
      </c>
      <c r="J253" s="6" t="s">
        <v>17</v>
      </c>
      <c r="K253" s="6" t="s">
        <v>18</v>
      </c>
      <c r="L253" s="6" t="s">
        <v>59</v>
      </c>
    </row>
    <row r="254" spans="1:12">
      <c r="A254">
        <v>1253</v>
      </c>
      <c r="B254" s="7" t="s">
        <v>100</v>
      </c>
      <c r="C254" s="8" t="s">
        <v>13</v>
      </c>
      <c r="D254" s="8">
        <v>42</v>
      </c>
      <c r="E254" s="8" t="s">
        <v>35</v>
      </c>
      <c r="F254" s="8" t="s">
        <v>103</v>
      </c>
      <c r="G254" s="8">
        <v>34107</v>
      </c>
      <c r="H254" s="8">
        <v>15</v>
      </c>
      <c r="I254" s="8" t="s">
        <v>301</v>
      </c>
      <c r="J254" s="8" t="s">
        <v>17</v>
      </c>
      <c r="K254" s="8" t="s">
        <v>18</v>
      </c>
      <c r="L254" s="8" t="s">
        <v>24</v>
      </c>
    </row>
    <row r="255" spans="1:12">
      <c r="A255">
        <v>1254</v>
      </c>
      <c r="B255" s="5" t="s">
        <v>12</v>
      </c>
      <c r="C255" s="6" t="s">
        <v>13</v>
      </c>
      <c r="D255" s="6">
        <v>25</v>
      </c>
      <c r="E255" s="6" t="s">
        <v>14</v>
      </c>
      <c r="F255" s="6" t="s">
        <v>21</v>
      </c>
      <c r="G255" s="6">
        <v>82206</v>
      </c>
      <c r="H255" s="6">
        <v>2</v>
      </c>
      <c r="I255" s="6" t="s">
        <v>302</v>
      </c>
      <c r="J255" s="6" t="s">
        <v>17</v>
      </c>
      <c r="K255" s="6" t="s">
        <v>18</v>
      </c>
      <c r="L255" s="6" t="s">
        <v>32</v>
      </c>
    </row>
    <row r="256" spans="1:12">
      <c r="A256">
        <v>1255</v>
      </c>
      <c r="B256" s="7" t="s">
        <v>42</v>
      </c>
      <c r="C256" s="8" t="s">
        <v>26</v>
      </c>
      <c r="D256" s="8">
        <v>35</v>
      </c>
      <c r="E256" s="8" t="s">
        <v>35</v>
      </c>
      <c r="F256" s="8" t="s">
        <v>103</v>
      </c>
      <c r="G256" s="8">
        <v>40954</v>
      </c>
      <c r="H256" s="8">
        <v>8</v>
      </c>
      <c r="I256" s="8" t="s">
        <v>303</v>
      </c>
      <c r="J256" s="8" t="s">
        <v>17</v>
      </c>
      <c r="K256" s="8" t="s">
        <v>55</v>
      </c>
      <c r="L256" s="8" t="s">
        <v>59</v>
      </c>
    </row>
    <row r="257" spans="1:12">
      <c r="A257">
        <v>1256</v>
      </c>
      <c r="B257" s="5" t="s">
        <v>153</v>
      </c>
      <c r="C257" s="6" t="s">
        <v>26</v>
      </c>
      <c r="D257" s="6">
        <v>32</v>
      </c>
      <c r="E257" s="6" t="s">
        <v>14</v>
      </c>
      <c r="F257" s="6" t="s">
        <v>21</v>
      </c>
      <c r="G257" s="6">
        <v>86497</v>
      </c>
      <c r="H257" s="6">
        <v>2</v>
      </c>
      <c r="I257" s="6" t="s">
        <v>304</v>
      </c>
      <c r="J257" s="6" t="s">
        <v>17</v>
      </c>
      <c r="K257" s="6" t="s">
        <v>18</v>
      </c>
      <c r="L257" s="6" t="s">
        <v>52</v>
      </c>
    </row>
    <row r="258" spans="1:12">
      <c r="A258">
        <v>1257</v>
      </c>
      <c r="B258" s="7" t="s">
        <v>60</v>
      </c>
      <c r="C258" s="8" t="s">
        <v>26</v>
      </c>
      <c r="D258" s="8">
        <v>35</v>
      </c>
      <c r="E258" s="8" t="s">
        <v>35</v>
      </c>
      <c r="F258" s="8" t="s">
        <v>36</v>
      </c>
      <c r="G258" s="8">
        <v>105965</v>
      </c>
      <c r="H258" s="8">
        <v>15</v>
      </c>
      <c r="I258" s="8" t="s">
        <v>305</v>
      </c>
      <c r="J258" s="8" t="s">
        <v>46</v>
      </c>
      <c r="K258" s="8" t="s">
        <v>18</v>
      </c>
      <c r="L258" s="8" t="s">
        <v>19</v>
      </c>
    </row>
    <row r="259" spans="1:12">
      <c r="A259">
        <v>1258</v>
      </c>
      <c r="B259" s="5" t="s">
        <v>71</v>
      </c>
      <c r="C259" s="6" t="s">
        <v>13</v>
      </c>
      <c r="D259" s="6">
        <v>37</v>
      </c>
      <c r="E259" s="6" t="s">
        <v>64</v>
      </c>
      <c r="F259" s="6" t="s">
        <v>65</v>
      </c>
      <c r="G259" s="6">
        <v>111729</v>
      </c>
      <c r="H259" s="6">
        <v>9</v>
      </c>
      <c r="I259" s="6" t="s">
        <v>306</v>
      </c>
      <c r="J259" s="6" t="s">
        <v>46</v>
      </c>
      <c r="K259" s="6" t="s">
        <v>18</v>
      </c>
      <c r="L259" s="6" t="s">
        <v>24</v>
      </c>
    </row>
    <row r="260" spans="1:12">
      <c r="A260">
        <v>1259</v>
      </c>
      <c r="B260" s="7" t="s">
        <v>30</v>
      </c>
      <c r="C260" s="8" t="s">
        <v>26</v>
      </c>
      <c r="D260" s="8">
        <v>34</v>
      </c>
      <c r="E260" s="8" t="s">
        <v>14</v>
      </c>
      <c r="F260" s="8" t="s">
        <v>21</v>
      </c>
      <c r="G260" s="8">
        <v>88526</v>
      </c>
      <c r="H260" s="8">
        <v>10</v>
      </c>
      <c r="I260" s="8" t="s">
        <v>307</v>
      </c>
      <c r="J260" s="8" t="s">
        <v>17</v>
      </c>
      <c r="K260" s="8" t="s">
        <v>18</v>
      </c>
      <c r="L260" s="8" t="s">
        <v>19</v>
      </c>
    </row>
    <row r="261" spans="1:12">
      <c r="A261">
        <v>1260</v>
      </c>
      <c r="B261" s="5" t="s">
        <v>20</v>
      </c>
      <c r="C261" s="6" t="s">
        <v>13</v>
      </c>
      <c r="D261" s="6">
        <v>33</v>
      </c>
      <c r="E261" s="6" t="s">
        <v>47</v>
      </c>
      <c r="F261" s="6" t="s">
        <v>48</v>
      </c>
      <c r="G261" s="6">
        <v>58910</v>
      </c>
      <c r="H261" s="6">
        <v>4</v>
      </c>
      <c r="I261" s="6" t="s">
        <v>308</v>
      </c>
      <c r="J261" s="6" t="s">
        <v>17</v>
      </c>
      <c r="K261" s="6" t="s">
        <v>18</v>
      </c>
      <c r="L261" s="6" t="s">
        <v>24</v>
      </c>
    </row>
    <row r="262" spans="1:12">
      <c r="A262">
        <v>1261</v>
      </c>
      <c r="B262" s="7" t="s">
        <v>100</v>
      </c>
      <c r="C262" s="8" t="s">
        <v>26</v>
      </c>
      <c r="D262" s="8">
        <v>24</v>
      </c>
      <c r="E262" s="8" t="s">
        <v>64</v>
      </c>
      <c r="F262" s="8" t="s">
        <v>65</v>
      </c>
      <c r="G262" s="8">
        <v>38902</v>
      </c>
      <c r="H262" s="8">
        <v>0</v>
      </c>
      <c r="I262" s="8" t="s">
        <v>309</v>
      </c>
      <c r="J262" s="8" t="s">
        <v>46</v>
      </c>
      <c r="K262" s="8" t="s">
        <v>55</v>
      </c>
      <c r="L262" s="8" t="s">
        <v>32</v>
      </c>
    </row>
    <row r="263" spans="1:12">
      <c r="A263">
        <v>1262</v>
      </c>
      <c r="B263" s="5" t="s">
        <v>100</v>
      </c>
      <c r="C263" s="6" t="s">
        <v>13</v>
      </c>
      <c r="D263" s="6">
        <v>31</v>
      </c>
      <c r="E263" s="6" t="s">
        <v>43</v>
      </c>
      <c r="F263" s="6" t="s">
        <v>88</v>
      </c>
      <c r="G263" s="6">
        <v>42990</v>
      </c>
      <c r="H263" s="6">
        <v>9</v>
      </c>
      <c r="I263" s="6" t="s">
        <v>310</v>
      </c>
      <c r="J263" s="6" t="s">
        <v>17</v>
      </c>
      <c r="K263" s="6" t="s">
        <v>18</v>
      </c>
      <c r="L263" s="6" t="s">
        <v>68</v>
      </c>
    </row>
    <row r="264" spans="1:12">
      <c r="A264">
        <v>1263</v>
      </c>
      <c r="B264" s="7" t="s">
        <v>20</v>
      </c>
      <c r="C264" s="8" t="s">
        <v>26</v>
      </c>
      <c r="D264" s="8">
        <v>31</v>
      </c>
      <c r="E264" s="8" t="s">
        <v>64</v>
      </c>
      <c r="F264" s="8" t="s">
        <v>65</v>
      </c>
      <c r="G264" s="8">
        <v>61313</v>
      </c>
      <c r="H264" s="8">
        <v>10</v>
      </c>
      <c r="I264" s="8" t="s">
        <v>311</v>
      </c>
      <c r="J264" s="8" t="s">
        <v>46</v>
      </c>
      <c r="K264" s="8" t="s">
        <v>55</v>
      </c>
      <c r="L264" s="8" t="s">
        <v>24</v>
      </c>
    </row>
    <row r="265" spans="1:12">
      <c r="A265">
        <v>1264</v>
      </c>
      <c r="B265" s="5" t="s">
        <v>57</v>
      </c>
      <c r="C265" s="6" t="s">
        <v>26</v>
      </c>
      <c r="D265" s="6">
        <v>26</v>
      </c>
      <c r="E265" s="6" t="s">
        <v>64</v>
      </c>
      <c r="F265" s="6" t="s">
        <v>65</v>
      </c>
      <c r="G265" s="6">
        <v>78108</v>
      </c>
      <c r="H265" s="6">
        <v>0</v>
      </c>
      <c r="I265" s="6" t="s">
        <v>312</v>
      </c>
      <c r="J265" s="6" t="s">
        <v>17</v>
      </c>
      <c r="K265" s="6" t="s">
        <v>55</v>
      </c>
      <c r="L265" s="6" t="s">
        <v>68</v>
      </c>
    </row>
    <row r="266" spans="1:12">
      <c r="A266">
        <v>1265</v>
      </c>
      <c r="B266" s="7" t="s">
        <v>78</v>
      </c>
      <c r="C266" s="8" t="s">
        <v>13</v>
      </c>
      <c r="D266" s="8">
        <v>26</v>
      </c>
      <c r="E266" s="8" t="s">
        <v>43</v>
      </c>
      <c r="F266" s="8" t="s">
        <v>88</v>
      </c>
      <c r="G266" s="8">
        <v>106406</v>
      </c>
      <c r="H266" s="8">
        <v>0</v>
      </c>
      <c r="I266" s="8" t="s">
        <v>313</v>
      </c>
      <c r="J266" s="8" t="s">
        <v>17</v>
      </c>
      <c r="K266" s="8" t="s">
        <v>18</v>
      </c>
      <c r="L266" s="8" t="s">
        <v>52</v>
      </c>
    </row>
    <row r="267" spans="1:12">
      <c r="A267">
        <v>1266</v>
      </c>
      <c r="B267" s="5" t="s">
        <v>100</v>
      </c>
      <c r="C267" s="6" t="s">
        <v>13</v>
      </c>
      <c r="D267" s="6">
        <v>39</v>
      </c>
      <c r="E267" s="6" t="s">
        <v>43</v>
      </c>
      <c r="F267" s="6" t="s">
        <v>88</v>
      </c>
      <c r="G267" s="6">
        <v>111791</v>
      </c>
      <c r="H267" s="6">
        <v>12</v>
      </c>
      <c r="I267" s="6" t="s">
        <v>314</v>
      </c>
      <c r="J267" s="6" t="s">
        <v>23</v>
      </c>
      <c r="K267" s="6" t="s">
        <v>18</v>
      </c>
      <c r="L267" s="6" t="s">
        <v>24</v>
      </c>
    </row>
    <row r="268" spans="1:12">
      <c r="A268">
        <v>1267</v>
      </c>
      <c r="B268" s="7" t="s">
        <v>78</v>
      </c>
      <c r="C268" s="8" t="s">
        <v>26</v>
      </c>
      <c r="D268" s="8">
        <v>36</v>
      </c>
      <c r="E268" s="8" t="s">
        <v>43</v>
      </c>
      <c r="F268" s="8" t="s">
        <v>88</v>
      </c>
      <c r="G268" s="8">
        <v>99174</v>
      </c>
      <c r="H268" s="8">
        <v>11</v>
      </c>
      <c r="I268" s="8" t="s">
        <v>315</v>
      </c>
      <c r="J268" s="8" t="s">
        <v>23</v>
      </c>
      <c r="K268" s="8" t="s">
        <v>18</v>
      </c>
      <c r="L268" s="8" t="s">
        <v>32</v>
      </c>
    </row>
    <row r="269" spans="1:12">
      <c r="A269">
        <v>1268</v>
      </c>
      <c r="B269" s="5" t="s">
        <v>42</v>
      </c>
      <c r="C269" s="6" t="s">
        <v>26</v>
      </c>
      <c r="D269" s="6">
        <v>30</v>
      </c>
      <c r="E269" s="6" t="s">
        <v>14</v>
      </c>
      <c r="F269" s="6" t="s">
        <v>15</v>
      </c>
      <c r="G269" s="6">
        <v>37950</v>
      </c>
      <c r="H269" s="6">
        <v>7</v>
      </c>
      <c r="I269" s="6" t="s">
        <v>316</v>
      </c>
      <c r="J269" s="6" t="s">
        <v>50</v>
      </c>
      <c r="K269" s="6" t="s">
        <v>55</v>
      </c>
      <c r="L269" s="6" t="s">
        <v>59</v>
      </c>
    </row>
    <row r="270" spans="1:12">
      <c r="A270">
        <v>1269</v>
      </c>
      <c r="B270" s="7" t="s">
        <v>100</v>
      </c>
      <c r="C270" s="8" t="s">
        <v>13</v>
      </c>
      <c r="D270" s="8">
        <v>40</v>
      </c>
      <c r="E270" s="8" t="s">
        <v>27</v>
      </c>
      <c r="F270" s="8" t="s">
        <v>38</v>
      </c>
      <c r="G270" s="8">
        <v>82416</v>
      </c>
      <c r="H270" s="8">
        <v>10</v>
      </c>
      <c r="I270" s="8" t="s">
        <v>317</v>
      </c>
      <c r="J270" s="8" t="s">
        <v>23</v>
      </c>
      <c r="K270" s="8" t="s">
        <v>18</v>
      </c>
      <c r="L270" s="8" t="s">
        <v>59</v>
      </c>
    </row>
    <row r="271" spans="1:12">
      <c r="A271">
        <v>1270</v>
      </c>
      <c r="B271" s="5" t="s">
        <v>60</v>
      </c>
      <c r="C271" s="6" t="s">
        <v>26</v>
      </c>
      <c r="D271" s="6">
        <v>26</v>
      </c>
      <c r="E271" s="6" t="s">
        <v>35</v>
      </c>
      <c r="F271" s="6" t="s">
        <v>103</v>
      </c>
      <c r="G271" s="6">
        <v>61479</v>
      </c>
      <c r="H271" s="6">
        <v>3</v>
      </c>
      <c r="I271" s="6" t="s">
        <v>318</v>
      </c>
      <c r="J271" s="6" t="s">
        <v>50</v>
      </c>
      <c r="K271" s="6" t="s">
        <v>18</v>
      </c>
      <c r="L271" s="6" t="s">
        <v>68</v>
      </c>
    </row>
    <row r="272" spans="1:12">
      <c r="A272">
        <v>1271</v>
      </c>
      <c r="B272" s="7" t="s">
        <v>40</v>
      </c>
      <c r="C272" s="8" t="s">
        <v>26</v>
      </c>
      <c r="D272" s="8">
        <v>31</v>
      </c>
      <c r="E272" s="8" t="s">
        <v>43</v>
      </c>
      <c r="F272" s="8" t="s">
        <v>44</v>
      </c>
      <c r="G272" s="8">
        <v>63896</v>
      </c>
      <c r="H272" s="8">
        <v>11</v>
      </c>
      <c r="I272" s="8" t="s">
        <v>319</v>
      </c>
      <c r="J272" s="8" t="s">
        <v>17</v>
      </c>
      <c r="K272" s="8" t="s">
        <v>18</v>
      </c>
      <c r="L272" s="8" t="s">
        <v>68</v>
      </c>
    </row>
    <row r="273" spans="1:12">
      <c r="A273">
        <v>1272</v>
      </c>
      <c r="B273" s="5" t="s">
        <v>33</v>
      </c>
      <c r="C273" s="6" t="s">
        <v>26</v>
      </c>
      <c r="D273" s="6">
        <v>37</v>
      </c>
      <c r="E273" s="6" t="s">
        <v>47</v>
      </c>
      <c r="F273" s="6" t="s">
        <v>48</v>
      </c>
      <c r="G273" s="6">
        <v>83633</v>
      </c>
      <c r="H273" s="6">
        <v>7</v>
      </c>
      <c r="I273" s="6" t="s">
        <v>320</v>
      </c>
      <c r="J273" s="6" t="s">
        <v>46</v>
      </c>
      <c r="K273" s="6" t="s">
        <v>18</v>
      </c>
      <c r="L273" s="6" t="s">
        <v>19</v>
      </c>
    </row>
    <row r="274" spans="1:12">
      <c r="A274">
        <v>1273</v>
      </c>
      <c r="B274" s="7" t="s">
        <v>71</v>
      </c>
      <c r="C274" s="8" t="s">
        <v>26</v>
      </c>
      <c r="D274" s="8">
        <v>30</v>
      </c>
      <c r="E274" s="8" t="s">
        <v>35</v>
      </c>
      <c r="F274" s="8" t="s">
        <v>103</v>
      </c>
      <c r="G274" s="8">
        <v>74687</v>
      </c>
      <c r="H274" s="8">
        <v>2</v>
      </c>
      <c r="I274" s="8" t="s">
        <v>321</v>
      </c>
      <c r="J274" s="8" t="s">
        <v>50</v>
      </c>
      <c r="K274" s="8" t="s">
        <v>18</v>
      </c>
      <c r="L274" s="8" t="s">
        <v>19</v>
      </c>
    </row>
    <row r="275" spans="1:12">
      <c r="A275">
        <v>1274</v>
      </c>
      <c r="B275" s="5" t="s">
        <v>53</v>
      </c>
      <c r="C275" s="6" t="s">
        <v>26</v>
      </c>
      <c r="D275" s="6">
        <v>24</v>
      </c>
      <c r="E275" s="6" t="s">
        <v>35</v>
      </c>
      <c r="F275" s="6" t="s">
        <v>36</v>
      </c>
      <c r="G275" s="6">
        <v>119960</v>
      </c>
      <c r="H275" s="6">
        <v>2</v>
      </c>
      <c r="I275" s="6" t="s">
        <v>322</v>
      </c>
      <c r="J275" s="6" t="s">
        <v>17</v>
      </c>
      <c r="K275" s="6" t="s">
        <v>18</v>
      </c>
      <c r="L275" s="6" t="s">
        <v>59</v>
      </c>
    </row>
    <row r="276" spans="1:12">
      <c r="A276">
        <v>1275</v>
      </c>
      <c r="B276" s="7" t="s">
        <v>73</v>
      </c>
      <c r="C276" s="8" t="s">
        <v>26</v>
      </c>
      <c r="D276" s="8">
        <v>37</v>
      </c>
      <c r="E276" s="8" t="s">
        <v>35</v>
      </c>
      <c r="F276" s="8" t="s">
        <v>36</v>
      </c>
      <c r="G276" s="8">
        <v>62377</v>
      </c>
      <c r="H276" s="8">
        <v>10</v>
      </c>
      <c r="I276" s="8" t="s">
        <v>323</v>
      </c>
      <c r="J276" s="8" t="s">
        <v>46</v>
      </c>
      <c r="K276" s="8" t="s">
        <v>18</v>
      </c>
      <c r="L276" s="8" t="s">
        <v>52</v>
      </c>
    </row>
    <row r="277" spans="1:12">
      <c r="A277">
        <v>1276</v>
      </c>
      <c r="B277" s="5" t="s">
        <v>33</v>
      </c>
      <c r="C277" s="6" t="s">
        <v>13</v>
      </c>
      <c r="D277" s="6">
        <v>39</v>
      </c>
      <c r="E277" s="6" t="s">
        <v>47</v>
      </c>
      <c r="F277" s="6" t="s">
        <v>69</v>
      </c>
      <c r="G277" s="6">
        <v>76213</v>
      </c>
      <c r="H277" s="6">
        <v>12</v>
      </c>
      <c r="I277" s="6" t="s">
        <v>324</v>
      </c>
      <c r="J277" s="6" t="s">
        <v>50</v>
      </c>
      <c r="K277" s="6" t="s">
        <v>18</v>
      </c>
      <c r="L277" s="6" t="s">
        <v>24</v>
      </c>
    </row>
    <row r="278" spans="1:12">
      <c r="A278">
        <v>1277</v>
      </c>
      <c r="B278" s="7" t="s">
        <v>63</v>
      </c>
      <c r="C278" s="8" t="s">
        <v>26</v>
      </c>
      <c r="D278" s="8">
        <v>35</v>
      </c>
      <c r="E278" s="8" t="s">
        <v>27</v>
      </c>
      <c r="F278" s="8" t="s">
        <v>38</v>
      </c>
      <c r="G278" s="8">
        <v>33124</v>
      </c>
      <c r="H278" s="8">
        <v>15</v>
      </c>
      <c r="I278" s="8" t="s">
        <v>115</v>
      </c>
      <c r="J278" s="8" t="s">
        <v>50</v>
      </c>
      <c r="K278" s="8" t="s">
        <v>18</v>
      </c>
      <c r="L278" s="8" t="s">
        <v>19</v>
      </c>
    </row>
    <row r="279" spans="1:12">
      <c r="A279">
        <v>1278</v>
      </c>
      <c r="B279" s="5" t="s">
        <v>33</v>
      </c>
      <c r="C279" s="6" t="s">
        <v>26</v>
      </c>
      <c r="D279" s="6">
        <v>32</v>
      </c>
      <c r="E279" s="6" t="s">
        <v>14</v>
      </c>
      <c r="F279" s="6" t="s">
        <v>21</v>
      </c>
      <c r="G279" s="6">
        <v>119265</v>
      </c>
      <c r="H279" s="6">
        <v>11</v>
      </c>
      <c r="I279" s="6" t="s">
        <v>325</v>
      </c>
      <c r="J279" s="6" t="s">
        <v>50</v>
      </c>
      <c r="K279" s="6" t="s">
        <v>18</v>
      </c>
      <c r="L279" s="6" t="s">
        <v>32</v>
      </c>
    </row>
    <row r="280" spans="1:12">
      <c r="A280">
        <v>1279</v>
      </c>
      <c r="B280" s="7" t="s">
        <v>92</v>
      </c>
      <c r="C280" s="8" t="s">
        <v>13</v>
      </c>
      <c r="D280" s="8">
        <v>24</v>
      </c>
      <c r="E280" s="8" t="s">
        <v>47</v>
      </c>
      <c r="F280" s="8" t="s">
        <v>69</v>
      </c>
      <c r="G280" s="8">
        <v>104142</v>
      </c>
      <c r="H280" s="8">
        <v>1</v>
      </c>
      <c r="I280" s="8" t="s">
        <v>326</v>
      </c>
      <c r="J280" s="8" t="s">
        <v>23</v>
      </c>
      <c r="K280" s="8" t="s">
        <v>55</v>
      </c>
      <c r="L280" s="8" t="s">
        <v>68</v>
      </c>
    </row>
    <row r="281" spans="1:12">
      <c r="A281">
        <v>1280</v>
      </c>
      <c r="B281" s="5" t="s">
        <v>20</v>
      </c>
      <c r="C281" s="6" t="s">
        <v>26</v>
      </c>
      <c r="D281" s="6">
        <v>25</v>
      </c>
      <c r="E281" s="6" t="s">
        <v>14</v>
      </c>
      <c r="F281" s="6" t="s">
        <v>15</v>
      </c>
      <c r="G281" s="6">
        <v>74039</v>
      </c>
      <c r="H281" s="6">
        <v>3</v>
      </c>
      <c r="I281" s="6" t="s">
        <v>327</v>
      </c>
      <c r="J281" s="6" t="s">
        <v>46</v>
      </c>
      <c r="K281" s="6" t="s">
        <v>18</v>
      </c>
      <c r="L281" s="6" t="s">
        <v>68</v>
      </c>
    </row>
    <row r="282" spans="1:12">
      <c r="A282">
        <v>1281</v>
      </c>
      <c r="B282" s="7" t="s">
        <v>85</v>
      </c>
      <c r="C282" s="8" t="s">
        <v>26</v>
      </c>
      <c r="D282" s="8">
        <v>36</v>
      </c>
      <c r="E282" s="8" t="s">
        <v>43</v>
      </c>
      <c r="F282" s="8" t="s">
        <v>88</v>
      </c>
      <c r="G282" s="8">
        <v>89571</v>
      </c>
      <c r="H282" s="8">
        <v>8</v>
      </c>
      <c r="I282" s="8" t="s">
        <v>115</v>
      </c>
      <c r="J282" s="8" t="s">
        <v>23</v>
      </c>
      <c r="K282" s="8" t="s">
        <v>18</v>
      </c>
      <c r="L282" s="8" t="s">
        <v>59</v>
      </c>
    </row>
    <row r="283" spans="1:12">
      <c r="A283">
        <v>1282</v>
      </c>
      <c r="B283" s="5" t="s">
        <v>30</v>
      </c>
      <c r="C283" s="6" t="s">
        <v>13</v>
      </c>
      <c r="D283" s="6">
        <v>32</v>
      </c>
      <c r="E283" s="6" t="s">
        <v>35</v>
      </c>
      <c r="F283" s="6" t="s">
        <v>103</v>
      </c>
      <c r="G283" s="6">
        <v>42394</v>
      </c>
      <c r="H283" s="6">
        <v>4</v>
      </c>
      <c r="I283" s="6" t="s">
        <v>328</v>
      </c>
      <c r="J283" s="6" t="s">
        <v>17</v>
      </c>
      <c r="K283" s="6" t="s">
        <v>55</v>
      </c>
      <c r="L283" s="6" t="s">
        <v>32</v>
      </c>
    </row>
    <row r="284" spans="1:12">
      <c r="A284">
        <v>1283</v>
      </c>
      <c r="B284" s="7" t="s">
        <v>40</v>
      </c>
      <c r="C284" s="8" t="s">
        <v>26</v>
      </c>
      <c r="D284" s="8">
        <v>36</v>
      </c>
      <c r="E284" s="8" t="s">
        <v>64</v>
      </c>
      <c r="F284" s="8" t="s">
        <v>65</v>
      </c>
      <c r="G284" s="8">
        <v>75681</v>
      </c>
      <c r="H284" s="8">
        <v>13</v>
      </c>
      <c r="I284" s="8" t="s">
        <v>329</v>
      </c>
      <c r="J284" s="8" t="s">
        <v>23</v>
      </c>
      <c r="K284" s="8" t="s">
        <v>18</v>
      </c>
      <c r="L284" s="8" t="s">
        <v>32</v>
      </c>
    </row>
    <row r="285" spans="1:12">
      <c r="A285">
        <v>1284</v>
      </c>
      <c r="B285" s="5" t="s">
        <v>153</v>
      </c>
      <c r="C285" s="6" t="s">
        <v>26</v>
      </c>
      <c r="D285" s="6">
        <v>35</v>
      </c>
      <c r="E285" s="6" t="s">
        <v>64</v>
      </c>
      <c r="F285" s="6" t="s">
        <v>82</v>
      </c>
      <c r="G285" s="6">
        <v>55289</v>
      </c>
      <c r="H285" s="6">
        <v>11</v>
      </c>
      <c r="I285" s="6" t="s">
        <v>330</v>
      </c>
      <c r="J285" s="6" t="s">
        <v>23</v>
      </c>
      <c r="K285" s="6" t="s">
        <v>18</v>
      </c>
      <c r="L285" s="6" t="s">
        <v>19</v>
      </c>
    </row>
    <row r="286" spans="1:12">
      <c r="A286">
        <v>1285</v>
      </c>
      <c r="B286" s="7" t="s">
        <v>71</v>
      </c>
      <c r="C286" s="8" t="s">
        <v>13</v>
      </c>
      <c r="D286" s="8">
        <v>22</v>
      </c>
      <c r="E286" s="8" t="s">
        <v>47</v>
      </c>
      <c r="F286" s="8" t="s">
        <v>48</v>
      </c>
      <c r="G286" s="8">
        <v>119140</v>
      </c>
      <c r="H286" s="8">
        <v>1</v>
      </c>
      <c r="I286" s="8" t="s">
        <v>331</v>
      </c>
      <c r="J286" s="8" t="s">
        <v>46</v>
      </c>
      <c r="K286" s="8" t="s">
        <v>18</v>
      </c>
      <c r="L286" s="8" t="s">
        <v>68</v>
      </c>
    </row>
    <row r="287" spans="1:12">
      <c r="A287">
        <v>1286</v>
      </c>
      <c r="B287" s="5" t="s">
        <v>92</v>
      </c>
      <c r="C287" s="6" t="s">
        <v>13</v>
      </c>
      <c r="D287" s="6">
        <v>25</v>
      </c>
      <c r="E287" s="6" t="s">
        <v>27</v>
      </c>
      <c r="F287" s="6" t="s">
        <v>38</v>
      </c>
      <c r="G287" s="6">
        <v>113352</v>
      </c>
      <c r="H287" s="6">
        <v>4</v>
      </c>
      <c r="I287" s="6" t="s">
        <v>332</v>
      </c>
      <c r="J287" s="6" t="s">
        <v>17</v>
      </c>
      <c r="K287" s="6" t="s">
        <v>18</v>
      </c>
      <c r="L287" s="6" t="s">
        <v>68</v>
      </c>
    </row>
    <row r="288" spans="1:12">
      <c r="A288">
        <v>1287</v>
      </c>
      <c r="B288" s="7" t="s">
        <v>92</v>
      </c>
      <c r="C288" s="8" t="s">
        <v>26</v>
      </c>
      <c r="D288" s="8">
        <v>42</v>
      </c>
      <c r="E288" s="8" t="s">
        <v>35</v>
      </c>
      <c r="F288" s="8" t="s">
        <v>103</v>
      </c>
      <c r="G288" s="8">
        <v>119393</v>
      </c>
      <c r="H288" s="8">
        <v>13</v>
      </c>
      <c r="I288" s="8" t="s">
        <v>177</v>
      </c>
      <c r="J288" s="8" t="s">
        <v>17</v>
      </c>
      <c r="K288" s="8" t="s">
        <v>55</v>
      </c>
      <c r="L288" s="8" t="s">
        <v>59</v>
      </c>
    </row>
    <row r="289" spans="1:12">
      <c r="A289">
        <v>1288</v>
      </c>
      <c r="B289" s="5" t="s">
        <v>53</v>
      </c>
      <c r="C289" s="6" t="s">
        <v>13</v>
      </c>
      <c r="D289" s="6">
        <v>35</v>
      </c>
      <c r="E289" s="6" t="s">
        <v>27</v>
      </c>
      <c r="F289" s="6" t="s">
        <v>28</v>
      </c>
      <c r="G289" s="6">
        <v>82460</v>
      </c>
      <c r="H289" s="6">
        <v>15</v>
      </c>
      <c r="I289" s="6" t="s">
        <v>333</v>
      </c>
      <c r="J289" s="6" t="s">
        <v>23</v>
      </c>
      <c r="K289" s="6" t="s">
        <v>18</v>
      </c>
      <c r="L289" s="6" t="s">
        <v>68</v>
      </c>
    </row>
    <row r="290" spans="1:12">
      <c r="A290">
        <v>1289</v>
      </c>
      <c r="B290" s="7" t="s">
        <v>100</v>
      </c>
      <c r="C290" s="8" t="s">
        <v>13</v>
      </c>
      <c r="D290" s="8">
        <v>30</v>
      </c>
      <c r="E290" s="8" t="s">
        <v>64</v>
      </c>
      <c r="F290" s="8" t="s">
        <v>65</v>
      </c>
      <c r="G290" s="8">
        <v>59486</v>
      </c>
      <c r="H290" s="8">
        <v>0</v>
      </c>
      <c r="I290" s="8" t="s">
        <v>334</v>
      </c>
      <c r="J290" s="8" t="s">
        <v>46</v>
      </c>
      <c r="K290" s="8" t="s">
        <v>18</v>
      </c>
      <c r="L290" s="8" t="s">
        <v>59</v>
      </c>
    </row>
    <row r="291" spans="1:12">
      <c r="A291">
        <v>1290</v>
      </c>
      <c r="B291" s="5" t="s">
        <v>100</v>
      </c>
      <c r="C291" s="6" t="s">
        <v>13</v>
      </c>
      <c r="D291" s="6">
        <v>44</v>
      </c>
      <c r="E291" s="6" t="s">
        <v>27</v>
      </c>
      <c r="F291" s="6" t="s">
        <v>38</v>
      </c>
      <c r="G291" s="6">
        <v>83927</v>
      </c>
      <c r="H291" s="6">
        <v>15</v>
      </c>
      <c r="I291" s="6" t="s">
        <v>335</v>
      </c>
      <c r="J291" s="6" t="s">
        <v>17</v>
      </c>
      <c r="K291" s="6" t="s">
        <v>18</v>
      </c>
      <c r="L291" s="6" t="s">
        <v>59</v>
      </c>
    </row>
    <row r="292" spans="1:12">
      <c r="A292">
        <v>1291</v>
      </c>
      <c r="B292" s="7" t="s">
        <v>100</v>
      </c>
      <c r="C292" s="8" t="s">
        <v>26</v>
      </c>
      <c r="D292" s="8">
        <v>36</v>
      </c>
      <c r="E292" s="8" t="s">
        <v>43</v>
      </c>
      <c r="F292" s="8" t="s">
        <v>44</v>
      </c>
      <c r="G292" s="8">
        <v>108774</v>
      </c>
      <c r="H292" s="8">
        <v>12</v>
      </c>
      <c r="I292" s="8" t="s">
        <v>336</v>
      </c>
      <c r="J292" s="8" t="s">
        <v>23</v>
      </c>
      <c r="K292" s="8" t="s">
        <v>18</v>
      </c>
      <c r="L292" s="8" t="s">
        <v>19</v>
      </c>
    </row>
    <row r="293" spans="1:12">
      <c r="A293">
        <v>1292</v>
      </c>
      <c r="B293" s="5" t="s">
        <v>71</v>
      </c>
      <c r="C293" s="6" t="s">
        <v>26</v>
      </c>
      <c r="D293" s="6">
        <v>42</v>
      </c>
      <c r="E293" s="6" t="s">
        <v>14</v>
      </c>
      <c r="F293" s="6" t="s">
        <v>21</v>
      </c>
      <c r="G293" s="6">
        <v>116020</v>
      </c>
      <c r="H293" s="6">
        <v>12</v>
      </c>
      <c r="I293" s="6" t="s">
        <v>337</v>
      </c>
      <c r="J293" s="6" t="s">
        <v>17</v>
      </c>
      <c r="K293" s="6" t="s">
        <v>18</v>
      </c>
      <c r="L293" s="6" t="s">
        <v>19</v>
      </c>
    </row>
    <row r="294" spans="1:12">
      <c r="A294">
        <v>1293</v>
      </c>
      <c r="B294" s="7" t="s">
        <v>12</v>
      </c>
      <c r="C294" s="8" t="s">
        <v>13</v>
      </c>
      <c r="D294" s="8">
        <v>28</v>
      </c>
      <c r="E294" s="8" t="s">
        <v>47</v>
      </c>
      <c r="F294" s="8" t="s">
        <v>69</v>
      </c>
      <c r="G294" s="8">
        <v>74878</v>
      </c>
      <c r="H294" s="8">
        <v>0</v>
      </c>
      <c r="I294" s="8" t="s">
        <v>338</v>
      </c>
      <c r="J294" s="8" t="s">
        <v>23</v>
      </c>
      <c r="K294" s="8" t="s">
        <v>55</v>
      </c>
      <c r="L294" s="8" t="s">
        <v>32</v>
      </c>
    </row>
    <row r="295" spans="1:12">
      <c r="A295">
        <v>1294</v>
      </c>
      <c r="B295" s="5" t="s">
        <v>30</v>
      </c>
      <c r="C295" s="6" t="s">
        <v>13</v>
      </c>
      <c r="D295" s="6">
        <v>29</v>
      </c>
      <c r="E295" s="6" t="s">
        <v>43</v>
      </c>
      <c r="F295" s="6" t="s">
        <v>88</v>
      </c>
      <c r="G295" s="6">
        <v>57374</v>
      </c>
      <c r="H295" s="6">
        <v>4</v>
      </c>
      <c r="I295" s="6" t="s">
        <v>339</v>
      </c>
      <c r="J295" s="6" t="s">
        <v>46</v>
      </c>
      <c r="K295" s="6" t="s">
        <v>18</v>
      </c>
      <c r="L295" s="6" t="s">
        <v>52</v>
      </c>
    </row>
    <row r="296" spans="1:12">
      <c r="A296">
        <v>1295</v>
      </c>
      <c r="B296" s="7" t="s">
        <v>12</v>
      </c>
      <c r="C296" s="8" t="s">
        <v>26</v>
      </c>
      <c r="D296" s="8">
        <v>32</v>
      </c>
      <c r="E296" s="8" t="s">
        <v>47</v>
      </c>
      <c r="F296" s="8" t="s">
        <v>69</v>
      </c>
      <c r="G296" s="8">
        <v>110735</v>
      </c>
      <c r="H296" s="8">
        <v>2</v>
      </c>
      <c r="I296" s="8" t="s">
        <v>340</v>
      </c>
      <c r="J296" s="8" t="s">
        <v>23</v>
      </c>
      <c r="K296" s="8" t="s">
        <v>55</v>
      </c>
      <c r="L296" s="8" t="s">
        <v>52</v>
      </c>
    </row>
    <row r="297" spans="1:12">
      <c r="A297">
        <v>1296</v>
      </c>
      <c r="B297" s="5" t="s">
        <v>42</v>
      </c>
      <c r="C297" s="6" t="s">
        <v>13</v>
      </c>
      <c r="D297" s="6">
        <v>29</v>
      </c>
      <c r="E297" s="6" t="s">
        <v>47</v>
      </c>
      <c r="F297" s="6" t="s">
        <v>48</v>
      </c>
      <c r="G297" s="6">
        <v>54523</v>
      </c>
      <c r="H297" s="6">
        <v>9</v>
      </c>
      <c r="I297" s="6" t="s">
        <v>341</v>
      </c>
      <c r="J297" s="6" t="s">
        <v>17</v>
      </c>
      <c r="K297" s="6" t="s">
        <v>18</v>
      </c>
      <c r="L297" s="6" t="s">
        <v>19</v>
      </c>
    </row>
    <row r="298" spans="1:12">
      <c r="A298">
        <v>1297</v>
      </c>
      <c r="B298" s="7" t="s">
        <v>57</v>
      </c>
      <c r="C298" s="8" t="s">
        <v>13</v>
      </c>
      <c r="D298" s="8">
        <v>32</v>
      </c>
      <c r="E298" s="8" t="s">
        <v>64</v>
      </c>
      <c r="F298" s="8" t="s">
        <v>65</v>
      </c>
      <c r="G298" s="8">
        <v>84947</v>
      </c>
      <c r="H298" s="8">
        <v>9</v>
      </c>
      <c r="I298" s="8" t="s">
        <v>342</v>
      </c>
      <c r="J298" s="8" t="s">
        <v>46</v>
      </c>
      <c r="K298" s="8" t="s">
        <v>55</v>
      </c>
      <c r="L298" s="8" t="s">
        <v>19</v>
      </c>
    </row>
    <row r="299" spans="1:12">
      <c r="A299">
        <v>1298</v>
      </c>
      <c r="B299" s="5" t="s">
        <v>30</v>
      </c>
      <c r="C299" s="6" t="s">
        <v>26</v>
      </c>
      <c r="D299" s="6">
        <v>29</v>
      </c>
      <c r="E299" s="6" t="s">
        <v>64</v>
      </c>
      <c r="F299" s="6" t="s">
        <v>65</v>
      </c>
      <c r="G299" s="6">
        <v>87300</v>
      </c>
      <c r="H299" s="6">
        <v>6</v>
      </c>
      <c r="I299" s="6" t="s">
        <v>343</v>
      </c>
      <c r="J299" s="6" t="s">
        <v>46</v>
      </c>
      <c r="K299" s="6" t="s">
        <v>18</v>
      </c>
      <c r="L299" s="6" t="s">
        <v>52</v>
      </c>
    </row>
    <row r="300" spans="1:12">
      <c r="A300">
        <v>1299</v>
      </c>
      <c r="B300" s="7" t="s">
        <v>53</v>
      </c>
      <c r="C300" s="8" t="s">
        <v>26</v>
      </c>
      <c r="D300" s="8">
        <v>29</v>
      </c>
      <c r="E300" s="8" t="s">
        <v>35</v>
      </c>
      <c r="F300" s="8" t="s">
        <v>36</v>
      </c>
      <c r="G300" s="8">
        <v>42427</v>
      </c>
      <c r="H300" s="8">
        <v>9</v>
      </c>
      <c r="I300" s="8" t="s">
        <v>344</v>
      </c>
      <c r="J300" s="8" t="s">
        <v>50</v>
      </c>
      <c r="K300" s="8" t="s">
        <v>18</v>
      </c>
      <c r="L300" s="8" t="s">
        <v>32</v>
      </c>
    </row>
    <row r="301" spans="1:12">
      <c r="A301">
        <v>1300</v>
      </c>
      <c r="B301" s="5" t="s">
        <v>92</v>
      </c>
      <c r="C301" s="6" t="s">
        <v>26</v>
      </c>
      <c r="D301" s="6">
        <v>25</v>
      </c>
      <c r="E301" s="6" t="s">
        <v>35</v>
      </c>
      <c r="F301" s="6" t="s">
        <v>36</v>
      </c>
      <c r="G301" s="6">
        <v>83639</v>
      </c>
      <c r="H301" s="6">
        <v>0</v>
      </c>
      <c r="I301" s="6" t="s">
        <v>345</v>
      </c>
      <c r="J301" s="6" t="s">
        <v>23</v>
      </c>
      <c r="K301" s="6" t="s">
        <v>55</v>
      </c>
      <c r="L301" s="6" t="s">
        <v>59</v>
      </c>
    </row>
  </sheetData>
  <phoneticPr fontId="6" type="noConversion"/>
  <conditionalFormatting sqref="A1">
    <cfRule type="duplicateValues" dxfId="3" priority="4"/>
  </conditionalFormatting>
  <conditionalFormatting sqref="A2:A301">
    <cfRule type="duplicateValues" dxfId="2" priority="2"/>
  </conditionalFormatting>
  <conditionalFormatting sqref="G1">
    <cfRule type="aboveAverage" dxfId="1" priority="3"/>
  </conditionalFormatting>
  <conditionalFormatting sqref="G2:G301">
    <cfRule type="aboveAverage"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anupama eemani</dc:creator>
  <cp:lastModifiedBy>anupama eemani</cp:lastModifiedBy>
  <dcterms:created xsi:type="dcterms:W3CDTF">2026-06-30T17:23:20Z</dcterms:created>
  <dcterms:modified xsi:type="dcterms:W3CDTF">2026-07-01T13:33:41Z</dcterms:modified>
</cp:coreProperties>
</file>